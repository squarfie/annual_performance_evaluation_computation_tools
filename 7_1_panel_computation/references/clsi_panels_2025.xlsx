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MING\TESTINGS\Tools_backup\annual_perf_eval\annual_performance_reports\10_panel_computation\"/>
    </mc:Choice>
  </mc:AlternateContent>
  <xr:revisionPtr revIDLastSave="0" documentId="13_ncr:1_{FF3DD860-03C9-4E2C-BE8C-E84400AB3667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group_all" sheetId="22" r:id="rId1"/>
    <sheet name="groupings" sheetId="21" r:id="rId2"/>
    <sheet name="ebc" sheetId="1" r:id="rId3"/>
    <sheet name="sal_shi" sheetId="2" r:id="rId4"/>
    <sheet name="pae" sheetId="5" r:id="rId5"/>
    <sheet name="ac" sheetId="3" r:id="rId6"/>
    <sheet name="pma" sheetId="6" r:id="rId7"/>
    <sheet name="non_ebc" sheetId="7" r:id="rId8"/>
    <sheet name="sta" sheetId="13" r:id="rId9"/>
    <sheet name="ent" sheetId="11" r:id="rId10"/>
    <sheet name="hpi_hin" sheetId="8" r:id="rId11"/>
    <sheet name="ngo" sheetId="9" r:id="rId12"/>
    <sheet name="spn" sheetId="12" r:id="rId13"/>
    <sheet name="vic" sheetId="20" r:id="rId14"/>
    <sheet name="bs" sheetId="14" r:id="rId15"/>
    <sheet name="svi" sheetId="15" r:id="rId16"/>
    <sheet name="nme" sheetId="10" r:id="rId17"/>
    <sheet name="aec" sheetId="18" r:id="rId18"/>
    <sheet name="aer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9" l="1" a="1"/>
  <c r="I2" i="19" s="1"/>
  <c r="J6" i="3"/>
  <c r="J5" i="5"/>
  <c r="J5" i="2"/>
  <c r="J5" i="1"/>
  <c r="I2" i="18" a="1"/>
  <c r="I2" i="18" s="1"/>
  <c r="J2" i="10" a="1"/>
  <c r="J2" i="10" s="1"/>
  <c r="J2" i="15" a="1"/>
  <c r="J2" i="15" s="1"/>
  <c r="J2" i="14" a="1"/>
  <c r="J2" i="14" s="1"/>
  <c r="I2" i="20" a="1"/>
  <c r="I2" i="20"/>
  <c r="J2" i="12" a="1"/>
  <c r="J2" i="12" s="1"/>
  <c r="J2" i="9" a="1"/>
  <c r="J2" i="9" s="1"/>
  <c r="J2" i="8" a="1"/>
  <c r="J2" i="8" s="1"/>
  <c r="J2" i="11" a="1"/>
  <c r="J2" i="11" s="1"/>
  <c r="K2" i="13" a="1"/>
  <c r="K2" i="13" s="1"/>
  <c r="J2" i="7" a="1"/>
  <c r="J2" i="7" s="1"/>
  <c r="J2" i="6" a="1"/>
  <c r="J2" i="6" s="1"/>
  <c r="J2" i="3" a="1"/>
  <c r="J2" i="3" s="1"/>
  <c r="J2" i="5" a="1"/>
  <c r="J2" i="5" s="1"/>
  <c r="J2" i="2" a="1"/>
  <c r="J2" i="2" s="1"/>
  <c r="J2" i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<sst xmlns="http://schemas.openxmlformats.org/spreadsheetml/2006/main" count="2968" uniqueCount="506">
  <si>
    <t>WHON5_CODE</t>
  </si>
  <si>
    <t>Ampicillin</t>
  </si>
  <si>
    <t>amp_nd10</t>
  </si>
  <si>
    <t>amp_nm</t>
  </si>
  <si>
    <t>amp_ne</t>
  </si>
  <si>
    <t>amc_nd20</t>
  </si>
  <si>
    <t>amc_nm</t>
  </si>
  <si>
    <t>amc_ne</t>
  </si>
  <si>
    <t>czo_nm</t>
  </si>
  <si>
    <t>czo_ne</t>
  </si>
  <si>
    <t>czo_nd30</t>
  </si>
  <si>
    <t>Cefazolin</t>
  </si>
  <si>
    <t>Cefotaxime</t>
  </si>
  <si>
    <t>ctx_nd30</t>
  </si>
  <si>
    <t>ctx_nm</t>
  </si>
  <si>
    <t>ctx_ne</t>
  </si>
  <si>
    <t>Ceftriaxone</t>
  </si>
  <si>
    <t>cro_nm</t>
  </si>
  <si>
    <t>cro_ne</t>
  </si>
  <si>
    <t>Ciprofloxacin</t>
  </si>
  <si>
    <t>cip_nd5</t>
  </si>
  <si>
    <t>cip_nm</t>
  </si>
  <si>
    <t>cip_ne</t>
  </si>
  <si>
    <t>Gentamicin</t>
  </si>
  <si>
    <t>gen_nd10</t>
  </si>
  <si>
    <t>gen_nm</t>
  </si>
  <si>
    <t>gen_ne</t>
  </si>
  <si>
    <t>Levofloxacin</t>
  </si>
  <si>
    <t>lvx_nd5</t>
  </si>
  <si>
    <t>lvx_nm</t>
  </si>
  <si>
    <t>lvx_ne</t>
  </si>
  <si>
    <t>tzp_nd100</t>
  </si>
  <si>
    <t>tzp_nm</t>
  </si>
  <si>
    <t>tzp_ne</t>
  </si>
  <si>
    <t>Piperacillin-tazobactam</t>
  </si>
  <si>
    <t>Trimethoprim-sulfaethoxazole</t>
  </si>
  <si>
    <t>sxt_nd1_2</t>
  </si>
  <si>
    <t>sxt_nm</t>
  </si>
  <si>
    <t>sxt_ne</t>
  </si>
  <si>
    <t>Amikacin</t>
  </si>
  <si>
    <t>amk_nd30</t>
  </si>
  <si>
    <t>amk_nm</t>
  </si>
  <si>
    <t>amk_ne</t>
  </si>
  <si>
    <t>Cefepime</t>
  </si>
  <si>
    <t>fep_nd30</t>
  </si>
  <si>
    <t>fep_nm</t>
  </si>
  <si>
    <t>fep_ne</t>
  </si>
  <si>
    <t>Cefoxitin</t>
  </si>
  <si>
    <t>fox_nd30</t>
  </si>
  <si>
    <t>fox_nm</t>
  </si>
  <si>
    <t>fox_ne</t>
  </si>
  <si>
    <t>Cefuroxime</t>
  </si>
  <si>
    <t>Ertapenem</t>
  </si>
  <si>
    <t>etp_nd10</t>
  </si>
  <si>
    <t>etp_nm</t>
  </si>
  <si>
    <t>etp_ne</t>
  </si>
  <si>
    <t>Imipenem</t>
  </si>
  <si>
    <t>ipm_nd10</t>
  </si>
  <si>
    <t>ipm_nm</t>
  </si>
  <si>
    <t>ipm_ne</t>
  </si>
  <si>
    <t>Meropenem</t>
  </si>
  <si>
    <t>mem_nd10</t>
  </si>
  <si>
    <t>mem_nm</t>
  </si>
  <si>
    <t>mem_ne</t>
  </si>
  <si>
    <t>tcy_nd30</t>
  </si>
  <si>
    <t>tcy_nm</t>
  </si>
  <si>
    <t>tcy_ne</t>
  </si>
  <si>
    <t>Tetracycline</t>
  </si>
  <si>
    <t>Tobramycin</t>
  </si>
  <si>
    <t>tob_nd10</t>
  </si>
  <si>
    <t>tob_nm</t>
  </si>
  <si>
    <t>tob_ne</t>
  </si>
  <si>
    <t>Cefiderocol</t>
  </si>
  <si>
    <t>fdc_nd</t>
  </si>
  <si>
    <t>fdc_nm</t>
  </si>
  <si>
    <t>fdc_ne</t>
  </si>
  <si>
    <t>Ceftazidime-avibactam</t>
  </si>
  <si>
    <t>cza_nd30</t>
  </si>
  <si>
    <t>cza_nm</t>
  </si>
  <si>
    <t>cza_ne</t>
  </si>
  <si>
    <t>Imipenem-relebactam</t>
  </si>
  <si>
    <t>imr_nd10</t>
  </si>
  <si>
    <t>imr_nm</t>
  </si>
  <si>
    <t>imr_ne</t>
  </si>
  <si>
    <t>atm_nd30</t>
  </si>
  <si>
    <t>atm_nm</t>
  </si>
  <si>
    <t>atm_ne</t>
  </si>
  <si>
    <t>Aztreonam</t>
  </si>
  <si>
    <t>Ceftazidime</t>
  </si>
  <si>
    <t>caz_nd30</t>
  </si>
  <si>
    <t>caz_nm</t>
  </si>
  <si>
    <t>caz_ne</t>
  </si>
  <si>
    <t>Ceftolozane-tazobactam</t>
  </si>
  <si>
    <t>czt_nd30</t>
  </si>
  <si>
    <t>czt_nm</t>
  </si>
  <si>
    <t>czt_ne</t>
  </si>
  <si>
    <t>col_nm</t>
  </si>
  <si>
    <t>col_ne</t>
  </si>
  <si>
    <t>nit_nd300</t>
  </si>
  <si>
    <t>nit_nm</t>
  </si>
  <si>
    <t>nit_ne</t>
  </si>
  <si>
    <t>Nitrofurantoin</t>
  </si>
  <si>
    <t>Azithromycin</t>
  </si>
  <si>
    <t>azm_nd15</t>
  </si>
  <si>
    <t>azm_nm</t>
  </si>
  <si>
    <t>azm_ne</t>
  </si>
  <si>
    <t>sam_nd10</t>
  </si>
  <si>
    <t>sam_nm</t>
  </si>
  <si>
    <t>sam_ne</t>
  </si>
  <si>
    <t>Ampicillin-sulbactam</t>
  </si>
  <si>
    <t>mno_nd30</t>
  </si>
  <si>
    <t>mno_nm</t>
  </si>
  <si>
    <t>mno_ne</t>
  </si>
  <si>
    <t>Minocycline</t>
  </si>
  <si>
    <t>cro_nd30</t>
  </si>
  <si>
    <t>Trimethoprim-sulfamethoxazole</t>
  </si>
  <si>
    <t xml:space="preserve">Rifampin </t>
  </si>
  <si>
    <t>rif_nd5</t>
  </si>
  <si>
    <t>rif_nm</t>
  </si>
  <si>
    <t>rif_ne</t>
  </si>
  <si>
    <t>Cefixime</t>
  </si>
  <si>
    <t>cfm_nd5</t>
  </si>
  <si>
    <t>cfm_nm</t>
  </si>
  <si>
    <t>cfm_ne</t>
  </si>
  <si>
    <t>Penicilin</t>
  </si>
  <si>
    <t>pen_nm</t>
  </si>
  <si>
    <t>pen_ne</t>
  </si>
  <si>
    <t>dap_nd30</t>
  </si>
  <si>
    <t>dap_nm</t>
  </si>
  <si>
    <t>dap_ne</t>
  </si>
  <si>
    <t>Linezolid</t>
  </si>
  <si>
    <t>lnz_nd30</t>
  </si>
  <si>
    <t>lnz_nm</t>
  </si>
  <si>
    <t>lnz_ne</t>
  </si>
  <si>
    <t>Vancomycin</t>
  </si>
  <si>
    <t>van_nd30</t>
  </si>
  <si>
    <t>van_nm</t>
  </si>
  <si>
    <t>van_ne</t>
  </si>
  <si>
    <t>geh_nd120</t>
  </si>
  <si>
    <t>geh_nm</t>
  </si>
  <si>
    <t>geh_ne</t>
  </si>
  <si>
    <t>Gentamicin (HLAR)</t>
  </si>
  <si>
    <t>ery_nd15</t>
  </si>
  <si>
    <t>ery_nm</t>
  </si>
  <si>
    <t>ery_ne</t>
  </si>
  <si>
    <t>Erythromycin</t>
  </si>
  <si>
    <t>oxa_nm</t>
  </si>
  <si>
    <t>oxa_ne</t>
  </si>
  <si>
    <t>cli_nd2</t>
  </si>
  <si>
    <t>cli_nm</t>
  </si>
  <si>
    <t>cli_ne</t>
  </si>
  <si>
    <t>Clindamycin</t>
  </si>
  <si>
    <t>amx_nm</t>
  </si>
  <si>
    <t>col_nd10</t>
  </si>
  <si>
    <t>pen_nd10</t>
  </si>
  <si>
    <t>oxa_nd1</t>
  </si>
  <si>
    <t>amx_nd30</t>
  </si>
  <si>
    <t>AMP</t>
  </si>
  <si>
    <t>amp</t>
  </si>
  <si>
    <t>CTX</t>
  </si>
  <si>
    <t>CRO</t>
  </si>
  <si>
    <t>LVX</t>
  </si>
  <si>
    <t>TCY</t>
  </si>
  <si>
    <t>WHON5_CODE_DISK</t>
  </si>
  <si>
    <t>WHON5_CODE_MIC</t>
  </si>
  <si>
    <t>WHON5_CODE_ETEST</t>
  </si>
  <si>
    <t>FEP</t>
  </si>
  <si>
    <t>PEN</t>
  </si>
  <si>
    <t>LNZ</t>
  </si>
  <si>
    <t>VAN</t>
  </si>
  <si>
    <t>ERY</t>
  </si>
  <si>
    <t>CLI</t>
  </si>
  <si>
    <t>ctx</t>
  </si>
  <si>
    <t>cro</t>
  </si>
  <si>
    <t>cip</t>
  </si>
  <si>
    <t>lvx</t>
  </si>
  <si>
    <t>sxt</t>
  </si>
  <si>
    <t>azm</t>
  </si>
  <si>
    <t>ipm</t>
  </si>
  <si>
    <t>mem</t>
  </si>
  <si>
    <t>etp</t>
  </si>
  <si>
    <t>tcy</t>
  </si>
  <si>
    <t>col</t>
  </si>
  <si>
    <t>sam</t>
  </si>
  <si>
    <t>fep</t>
  </si>
  <si>
    <t>caz</t>
  </si>
  <si>
    <t>gen</t>
  </si>
  <si>
    <t>tob</t>
  </si>
  <si>
    <t>amk</t>
  </si>
  <si>
    <t>mno</t>
  </si>
  <si>
    <t>fdc</t>
  </si>
  <si>
    <t>amc</t>
  </si>
  <si>
    <t>tzp</t>
  </si>
  <si>
    <t>fox</t>
  </si>
  <si>
    <t>cza</t>
  </si>
  <si>
    <t>imr</t>
  </si>
  <si>
    <t>atm</t>
  </si>
  <si>
    <t>czt</t>
  </si>
  <si>
    <t>czo</t>
  </si>
  <si>
    <t>nit</t>
  </si>
  <si>
    <t>rif</t>
  </si>
  <si>
    <t>cfm</t>
  </si>
  <si>
    <t>pen</t>
  </si>
  <si>
    <t>dap</t>
  </si>
  <si>
    <t>lnz</t>
  </si>
  <si>
    <t>van</t>
  </si>
  <si>
    <t>geh</t>
  </si>
  <si>
    <t>ery</t>
  </si>
  <si>
    <t>oxa</t>
  </si>
  <si>
    <t>cli</t>
  </si>
  <si>
    <t>dox_nd30</t>
  </si>
  <si>
    <t>dox_nm</t>
  </si>
  <si>
    <t>Doxycycline</t>
  </si>
  <si>
    <t>NA</t>
  </si>
  <si>
    <t>Antibiotic_Panels</t>
  </si>
  <si>
    <t>STATUS</t>
  </si>
  <si>
    <t>optional</t>
  </si>
  <si>
    <t>Amoxicillin-clavulanate</t>
  </si>
  <si>
    <t>mfx</t>
  </si>
  <si>
    <t>Moxifloxacin</t>
  </si>
  <si>
    <t>mfx_nd5</t>
  </si>
  <si>
    <t>mfx_nm</t>
  </si>
  <si>
    <t>mfx_ne</t>
  </si>
  <si>
    <t>cxa_nd30</t>
  </si>
  <si>
    <t>cxa_nm</t>
  </si>
  <si>
    <t>cxa_ne</t>
  </si>
  <si>
    <t>cxa</t>
  </si>
  <si>
    <t>Cefotetan</t>
  </si>
  <si>
    <t>ctt</t>
  </si>
  <si>
    <t>ctt_nd30</t>
  </si>
  <si>
    <t>ctt_nm</t>
  </si>
  <si>
    <t>ctt_ne</t>
  </si>
  <si>
    <t>Meropenem-vaborbactam</t>
  </si>
  <si>
    <t>mev</t>
  </si>
  <si>
    <t>mev_nd20</t>
  </si>
  <si>
    <t>mev_nm</t>
  </si>
  <si>
    <t>mev_ne</t>
  </si>
  <si>
    <t>Ceftaroline</t>
  </si>
  <si>
    <t>cpt</t>
  </si>
  <si>
    <t>cpt_nd30</t>
  </si>
  <si>
    <t>cpt_nm</t>
  </si>
  <si>
    <t>cpt_ne</t>
  </si>
  <si>
    <t>Colistin</t>
  </si>
  <si>
    <t>add</t>
  </si>
  <si>
    <t>ur</t>
  </si>
  <si>
    <t>ADD_VAL</t>
  </si>
  <si>
    <t>or</t>
  </si>
  <si>
    <t>lmu_nd20</t>
  </si>
  <si>
    <t>lmu_nm</t>
  </si>
  <si>
    <t>Cefaclor</t>
  </si>
  <si>
    <t>cec</t>
  </si>
  <si>
    <t>cec_nd30</t>
  </si>
  <si>
    <t>cec_nm</t>
  </si>
  <si>
    <t>cec_ne</t>
  </si>
  <si>
    <t>Metronidazole</t>
  </si>
  <si>
    <t>mtr</t>
  </si>
  <si>
    <t>mtr_nd</t>
  </si>
  <si>
    <t>mtr_nm</t>
  </si>
  <si>
    <t>mtr_ne</t>
  </si>
  <si>
    <t>Amoxicillin-clavulanic Acid</t>
  </si>
  <si>
    <t>Tier</t>
  </si>
  <si>
    <t>o</t>
  </si>
  <si>
    <t xml:space="preserve">Cefotaxime </t>
  </si>
  <si>
    <t>u1</t>
  </si>
  <si>
    <t>u2</t>
  </si>
  <si>
    <t>u3</t>
  </si>
  <si>
    <t>*Oxacillin</t>
  </si>
  <si>
    <t>*Azithromycin</t>
  </si>
  <si>
    <t>*For Salmonella Typhi (sat) and Shigella spp. (SHI)</t>
  </si>
  <si>
    <t>*For E-coli only (eco)</t>
  </si>
  <si>
    <t>*For E. faecalis only (efa)</t>
  </si>
  <si>
    <t>*for H. influenzae only (hin)</t>
  </si>
  <si>
    <t>*Erythromycin</t>
  </si>
  <si>
    <t>*Clindamycin</t>
  </si>
  <si>
    <t>*not reported if urine specimen</t>
  </si>
  <si>
    <t>*not reported if urine</t>
  </si>
  <si>
    <t>***Daptomycin</t>
  </si>
  <si>
    <t>optional /or</t>
  </si>
  <si>
    <t>optional / or</t>
  </si>
  <si>
    <t>*** Not reported for lower respiratory tract</t>
  </si>
  <si>
    <t>** reported only for S. pyogenes (spy) and S. agalactiae (sgc) and S. dysgalactiae (sdy)</t>
  </si>
  <si>
    <t>*Not reported for urine</t>
  </si>
  <si>
    <t>Lab unit</t>
  </si>
  <si>
    <t>TR</t>
  </si>
  <si>
    <t>urine only</t>
  </si>
  <si>
    <t>TR = tested and reported for  ARSP use but ARSP sentinel sites must observed tier reporting for AST result</t>
  </si>
  <si>
    <t>SAT/Shig</t>
  </si>
  <si>
    <t>Urine</t>
  </si>
  <si>
    <t>Lab. Unit</t>
  </si>
  <si>
    <t>optional not available locally</t>
  </si>
  <si>
    <t>urine</t>
  </si>
  <si>
    <t>lab unit</t>
  </si>
  <si>
    <t>TR for ICR screening</t>
  </si>
  <si>
    <t>TR(MIC only)</t>
  </si>
  <si>
    <t>Uirine</t>
  </si>
  <si>
    <t>AMP_ND10</t>
  </si>
  <si>
    <t>GEN_ND10</t>
  </si>
  <si>
    <t>SXT_ND1_2</t>
  </si>
  <si>
    <t>FEP_ND30</t>
  </si>
  <si>
    <t>IPM_ND10</t>
  </si>
  <si>
    <t>MEM_ND10</t>
  </si>
  <si>
    <t>AMK_ND30</t>
  </si>
  <si>
    <t>FOX_ND30</t>
  </si>
  <si>
    <t>TCY_ND30</t>
  </si>
  <si>
    <t>CAZ_ND30</t>
  </si>
  <si>
    <t>CAZ_NM</t>
  </si>
  <si>
    <t>IPM_NM</t>
  </si>
  <si>
    <t>MEM_NM</t>
  </si>
  <si>
    <t>GEN_NM</t>
  </si>
  <si>
    <t>AMK_NM</t>
  </si>
  <si>
    <t>FEP_NM</t>
  </si>
  <si>
    <t>SXT_NM</t>
  </si>
  <si>
    <t>TCY_NM</t>
  </si>
  <si>
    <t>AMP_NM</t>
  </si>
  <si>
    <t>CZO_NM</t>
  </si>
  <si>
    <t>FOX_NM</t>
  </si>
  <si>
    <t>CHL_ND30</t>
  </si>
  <si>
    <t>CHL_NM</t>
  </si>
  <si>
    <t>AZM_NM</t>
  </si>
  <si>
    <t>EXCEPT FOR STA</t>
  </si>
  <si>
    <t>*for S. aureus (sau) , S. lugdunensis (slu) and other Staphylococcus species (STA) (except S. coagulans (slc), S. epidermidis (sep), S. pseudintermedius (psd) and S. Schleiferi) (ssf) only MIC is acceptable</t>
  </si>
  <si>
    <t>**not reported for urinary tract</t>
  </si>
  <si>
    <t>^including MRSA</t>
  </si>
  <si>
    <t>^Vancomycin</t>
  </si>
  <si>
    <t>DOX_NM</t>
  </si>
  <si>
    <t>Cefuroxime (Oral)</t>
  </si>
  <si>
    <t>Trimetrophrim-Sulfamethoxazole</t>
  </si>
  <si>
    <t>*Chloramphenicol</t>
  </si>
  <si>
    <t>*Do not report for urinary tract</t>
  </si>
  <si>
    <t>-</t>
  </si>
  <si>
    <t>CZO</t>
  </si>
  <si>
    <t>FOX</t>
  </si>
  <si>
    <t>CAZ</t>
  </si>
  <si>
    <t>IPM</t>
  </si>
  <si>
    <t>MEM</t>
  </si>
  <si>
    <t>AZM</t>
  </si>
  <si>
    <t>AMK</t>
  </si>
  <si>
    <t>GEN</t>
  </si>
  <si>
    <t>DOX</t>
  </si>
  <si>
    <t>SXT</t>
  </si>
  <si>
    <t>CHL</t>
  </si>
  <si>
    <t>Enterobacterales excluding salmonella and shigella</t>
  </si>
  <si>
    <t xml:space="preserve">Cefuroxime /Axetil </t>
  </si>
  <si>
    <t>Salmonella and Shigella sp</t>
  </si>
  <si>
    <t>Acinetobacter sp</t>
  </si>
  <si>
    <t>Stenotrophomonas maltophilia</t>
  </si>
  <si>
    <t>Pseudomonas aeruginosa</t>
  </si>
  <si>
    <t>Other non-enterobacterales (including other pseudomonas spp and other non-fastidious, gram-neg bacilli, excluding pseudomonas aeruginosa, acinetobacter spp and burkholderia cepacia)</t>
  </si>
  <si>
    <t>Staphylococcus species</t>
  </si>
  <si>
    <t>Enterococcus species</t>
  </si>
  <si>
    <t>Haemophilus influenzae and Haemophilus parainfluenzae</t>
  </si>
  <si>
    <t>Neisseria gonorrhoeae</t>
  </si>
  <si>
    <t>Streptococcus pneumoniae</t>
  </si>
  <si>
    <t>Streptococcus Beta-haemolytic Group</t>
  </si>
  <si>
    <t>Streptococcus Viridans Group</t>
  </si>
  <si>
    <t>Neisseria meningitidis</t>
  </si>
  <si>
    <t>Aeromonas spp.</t>
  </si>
  <si>
    <t>Aerococcus spp.</t>
  </si>
  <si>
    <t>arsp_panel</t>
  </si>
  <si>
    <t>Arsp_Groupings</t>
  </si>
  <si>
    <t>AMP_ND10, AMP_NM, CIP_ND5, CIP_NM, LVX_ND5, LVX_NM, SXT_ND1_2, SXT_NM, CTX_ND30, CTX_NM, CRO_ND30, CRO_NM, AZM_ND15, AZM_NM, ETP_ND10, ETP_NM, IPM_ND10, IPM_NM, MEM_ND10, MEM_NM, TCY_ND30, TCY_NM, COL_ND10, COL_NM, POL_ND300, POL_NM</t>
  </si>
  <si>
    <t>LVX_ND5, LVX_NM, MNO_ND30, MNO_NM, SXT_ND1_2, SXT_NM, FDC_ND, FDC_NM</t>
  </si>
  <si>
    <t>CAZ_ND30, CAZ_NM, GEN_ND10, GEN_NM, TOB_ND10, TOB_NM, TZP_ND100, TZP_NM, SXT_ND1_2, SXT_NM, FEP_ND30, FEP_NM, IPM_ND10, IPM_NM, MEM_ND10, MEM_NM, AMK_ND30, AMK_NM, ATM_ND30, ATM_NM, CIP_ND5, CIP_NM, LVX_ND5, LVX_NM, MNO_ND30, MNO_NM, CTX_ND30, CTX_NM, CRO_ND30, CRO_NM, TCY_ND30, TCY_NM</t>
  </si>
  <si>
    <t>AMP_ND10, AMP_NM, CZO_ND30, CZO_NM, CTX_ND30, CTX_NM, CRO_ND30, CRO_NM, AMC_ND20, AMC_NM, SAM_ND10, SAM_NM, TZP_ND100, TZP_NM, GEN_ND10, GEN_NM, CIP_ND5, CIP_NM, LVX_ND5, LVX_NM, SXT_ND1_2, SXT_NM, CXA_ND30, CXA_NM, FEP_ND30, FEP_NM, ETP_ND10, ETP_NM, IPM_ND10, IPM_NM, MEM_ND10, MEM_NM, TOB_ND10, TOB_NM, AMK_ND30, AMK_NM, FOX_ND30, FOX_NM, TCY_ND30, TCY_NM, CZA_ND30, CZA_NM, IMR_ND10, IMR_NM, MEV_ND20, MEV_NM, ATM_ND30, ATM_NM, CAZ_ND30, CAZ_NM, CZT_ND30, CZT_NM, CZO_ND30, CZO_NM, NIT_ND300, NIT_NM, COL_ND10, COL_NM</t>
  </si>
  <si>
    <t>CAZ_ND30, CAZ_NM, FEP_ND30, FEP_NM, TZP_ND100, TZP_NM, TOB_ND10, TOB_NM, CIP_ND5, CIP_NM, LVX_ND5, LVX_NM, IPM_ND10, IPM_NM, MEM_ND10, MEM_NM, CZA_ND30, CZA_NM, CZT_ND30, CZT_NM, IMR_ND10, IMR_NM, ATM_ND30, ATM_NM, AMK_ND30, AMK_NM, COL_ND10, COL_NM</t>
  </si>
  <si>
    <t>SAM_ND10, SAM_NM, CAZ_ND30, CAZ_NM, FEP_ND30, FEP_NM, CIP_ND5, CIP_NM, LVX_ND5, LVX_NM, GEN_ND10, GEN_NM, TOB_ND10, TOB_NM, IPM_ND10, IPM_NM, MEM_ND10, MEM_NM, AMK_ND30, AMK_NM, TZP_ND100, TZP_NM, SXT_ND1_2, SXT_NM, CTX_ND30, CTX_NM, CRO_ND30, CRO_NM, COL_ND10, COL_NM</t>
  </si>
  <si>
    <t>LVX_ND5, LVX_NM, MNO_ND30, MNO_NM, SXT_ND1_2, SXT_NM</t>
  </si>
  <si>
    <t>CAZ_ND30, CAZ_NM, GEN_ND10, GEN_NM, TOB_ND10, TOB_NM, TZP_ND100, TZP_NM, SXT_ND1_2, SXT_NM, FEP_ND30, FEP_NM, IPM_ND10, IPM_NM, MEM_ND10, MEM_NM, AMK_ND30, AMK_NM, ATM_ND30, ATM_NM, CIP_ND5, CIP_NM, LVX_ND5, LVX_NM, CTX_ND30, CTX_NM, CRO_ND30, CRO_NM, TCY_ND30, TCY_NM</t>
  </si>
  <si>
    <t>AZM_ND15, AZM_NM, ERY_ND15, ERY_NM, CLI_ND2, CLI_NM, OXA_ND1, OXA_NM, FOX_ND30, FOX_NM, TCY_ND30, TCY_NM, SXT_ND1_2, SXT_NM, VAN_ND30, VAN_NM, PEN_ND10, PEN_NM, LNZ_ND30, LNZ_NM, RIF_ND5, RIF_NM, CIP_ND5, CIP_NM, LVX_ND5, LVX_NM, GEN_ND10, GEN_NM, NIT_ND300, NIT_NM</t>
  </si>
  <si>
    <t>AMP_ND10, AMP_NM, PEN_ND10, PEN_NM, VAN_ND30, VAN_NM, GEH_ND120, GEH_NM, LNZ_ND30, LNZ_NM, NIT_ND300, NIT_NM, CIP_ND5, CIP_NM, LVX_ND5, LVX_NM, TCY_ND30, TCY_NM</t>
  </si>
  <si>
    <t>AMP_ND10, AMP_NM, CTX_ND30, CTX_NM, CRO_ND30, CRO_NM, CAZ_ND30, CAZ_NM, SAM_ND10, SAM_NM, AMC_ND20, AMC_NM, CIP_ND5, CIP_NM, LVX_ND5, LVX_NM, SXT_ND1_2, SXT_NM, MEM_ND10, MEM_NM, ETP_ND10, ETP_NM, IPM_ND10, IPM_NM, AZM_ND15, AZM_NM, ATM_ND30, ATM_NM, CEC_ND30, CEC_NM, CXA_ND30, CXA_NM, RIF_ND5, RIF_NM, TCY_ND30, TCY_NM</t>
  </si>
  <si>
    <t>AZM_ND15, AZM_NM, CRO_ND30, CRO_NM, CFM_ND5, CFM_NM, CIP_ND5, CIP_NM, TCY_ND30, TCY_NM</t>
  </si>
  <si>
    <t>ERY_ND15, ERY_NM, PEN_ND10, PEN_NM, SXT_ND1_2, SXT_NM, CTX_ND30, CTX_NM, CRO_ND30, CRO_NM, MEM_ND10, MEM_NM, CLI_ND2, CLI_NM, TCY_ND30, TCY_NM, LVX_ND5, LVX_NM, MFX_ND5, MFX_NM, VAN_ND30, VAN_NM, AMC_ND20, AMC_NM, FEP_ND30, FEP_NM, ETP_ND10, ETP_NM, IPM_ND10, IPM_NM, LNZ_ND30, LNZ_NM, CXA_ND30, CXA_NM, RIF_ND5, RIF_NM</t>
  </si>
  <si>
    <t>AMP_ND10, AMP_NM, CZO_NM, FEP_ND30, FEP_NM, FOX_ND30, FOX_NM, CAZ_ND30, CAZ_NM, IPM_ND10, IPM_NM, MEM_ND10, MEM_NM, -, AZM_NM, AMK_ND30, AMK_NM, GEN_ND10, GEN_NM, -, DOX_NM, TCY_ND30, TCY_NM, SXT_ND1_2, SXT_NM, CHL_ND30, CHL_NM</t>
  </si>
  <si>
    <t>Vibrio Cholerae</t>
  </si>
  <si>
    <t>CLI_ND2, CLI_NM, ERY_ND15, ERY_NM, PEN_ND10, PEN_NM, AMP_ND10, AMP_NM, TCY_ND30, TCY_NM, CTX_ND30, CTX_NM, CRO_ND30, CRO_NM, VAN_ND30, VAN_NM, FEP_ND30, FEP_NM, CPT_ND30, CPT_NM, DAP_ND30, DAP_NM, LVX_ND5, LVX_NM</t>
  </si>
  <si>
    <t>AMP_ND10, AMP_NM, PEN_ND10, PEN_NM, CTX_ND30, CTX_NM, CRO_ND30, CRO_NM, VAN_ND30, VAN_NM, FEP_ND30, FEP_NM, CLI_ND2, CLI_NM, ERY_ND15, ERY_NM, LVX_ND5, LVX_NM</t>
  </si>
  <si>
    <t>PEN_ND10, PEN_NM, CTX_ND30, CTX_NM, CRO_ND30, CRO_NM, MEM_ND10, MEM_NM, AZM_ND15, AZM_NM, CIP_ND5, CIP_NM, LVX_ND5, LVX_NM, SXT_ND1_2, SXT_NM, RIF_ND5, RIF_NM</t>
  </si>
  <si>
    <t>AMP_ND10, AMP_NM, PEN_ND10, PEN_NM, AMC_ND20, AMC_NM, SAM_ND10, SAM_NM, TZP_ND100, TZP_NM, CLI_ND2, CLI_NM, ETP_ND10, ETP_NM, IPM_ND10, IPM_NM, MEM_ND10, MEM_NM, MTR_ND, MTR_NM, IMR_ND10, IMR_NM, CTT_ND30, CTT_NM, FOX_ND30, FOX_NM, CRO_ND30, CRO_NM, MFX_ND5, MFX_NM, TCY_ND30, TCY_NM</t>
  </si>
  <si>
    <t>Ampicillin, Cefazolin, Cefotaxime , Ceftriaxone, Amoxicillin-clavulanic Acid, Ampicillin-sulbactam, Piperacillin-tazobactam, Gentamicin, Ciprofloxacin, Levofloxacin, Trimethoprim-sulfamethoxazole, Cefuroxime /Axetil , Cefepime, Ertapenem, Imipenem, Meropenem, Tobramycin, Amikacin, Cefoxitin, Tetracycline, Ceftazidime-avibactam, Imipenem-relebactam, Meropenem-vaborbactam, Aztreonam, Ceftazidime, Ceftolozane-tazobactam, Cefazolin, Nitrofurantoin, Colistin</t>
  </si>
  <si>
    <t>Antibiotic_name</t>
  </si>
  <si>
    <t>Ampicillin, Ciprofloxacin, Levofloxacin, Trimethoprim-sulfamethoxazole, Cefotaxime, Ceftriaxone, *Azithromycin, Ertapenem, Imipenem, Meropenem, Tetracycline, Colistin</t>
  </si>
  <si>
    <t>AMP_ND10, AMP_NM, CIP_ND5, CIP_NM, LVX_ND5, LVX_NM, SXT_ND1_2, SXT_NM, CTX_ND30, CTX_NM, CRO_ND30, CRO_NM, AZM_ND15, AZM_NM, ETP_ND10, ETP_NM, IPM_ND10, IPM_NM, MEM_ND10, MEM_NM, TCY_ND30, TCY_NM, COL_ND10, COL_NM</t>
  </si>
  <si>
    <t>Ceftazidime, Cefepime, Piperacillin-tazobactam, Tobramycin, Ciprofloxacin, Levofloxacin, Imipenem, Meropenem, Ceftazidime-avibactam, Ceftolozane-tazobactam, Imipenem-relebactam, Aztreonam, Amikacin, Colistin</t>
  </si>
  <si>
    <t>Ampicillin-sulbactam, Ceftazidime, Cefepime, Ciprofloxacin, Levofloxacin, Gentamicin, Tobramycin, Imipenem, Meropenem, Amikacin, Piperacillin-tazobactam, Trimethoprim-sulfaethoxazole, Cefotaxime, Ceftriaxone, Colistin</t>
  </si>
  <si>
    <t>Arsp_org_grouping</t>
  </si>
  <si>
    <t>CZO_ND30</t>
  </si>
  <si>
    <t>CTX_ND30</t>
  </si>
  <si>
    <t>CTX_NM</t>
  </si>
  <si>
    <t>CRO_ND30</t>
  </si>
  <si>
    <t>CRO_NM</t>
  </si>
  <si>
    <t>AMC</t>
  </si>
  <si>
    <t>AMC_ND20</t>
  </si>
  <si>
    <t>AMC_NM</t>
  </si>
  <si>
    <t>SAM</t>
  </si>
  <si>
    <t>SAM_ND10</t>
  </si>
  <si>
    <t>SAM_NM</t>
  </si>
  <si>
    <t>TZP</t>
  </si>
  <si>
    <t>TZP_ND100</t>
  </si>
  <si>
    <t>TZP_NM</t>
  </si>
  <si>
    <t>CIP</t>
  </si>
  <si>
    <t>CIP_ND5</t>
  </si>
  <si>
    <t>CIP_NM</t>
  </si>
  <si>
    <t>LVX_ND5</t>
  </si>
  <si>
    <t>LVX_NM</t>
  </si>
  <si>
    <t>CXA</t>
  </si>
  <si>
    <t>CXA_ND30</t>
  </si>
  <si>
    <t>CXA_NM</t>
  </si>
  <si>
    <t>ETP</t>
  </si>
  <si>
    <t>ETP_ND10</t>
  </si>
  <si>
    <t>ETP_NM</t>
  </si>
  <si>
    <t>TOB</t>
  </si>
  <si>
    <t>TOB_ND10</t>
  </si>
  <si>
    <t>TOB_NM</t>
  </si>
  <si>
    <t>ATM</t>
  </si>
  <si>
    <t>ATM_ND30</t>
  </si>
  <si>
    <t>ATM_NM</t>
  </si>
  <si>
    <t>CZT</t>
  </si>
  <si>
    <t>CZT_ND30</t>
  </si>
  <si>
    <t>CZT_NM</t>
  </si>
  <si>
    <t>NIT</t>
  </si>
  <si>
    <t>NIT_ND300</t>
  </si>
  <si>
    <t>NIT_NM</t>
  </si>
  <si>
    <t>COL</t>
  </si>
  <si>
    <t>COL_ND10</t>
  </si>
  <si>
    <t>COL_NM</t>
  </si>
  <si>
    <t>AZM_ND15</t>
  </si>
  <si>
    <t>ERY_ND15</t>
  </si>
  <si>
    <t>ERY_NM</t>
  </si>
  <si>
    <t>CLI_ND2</t>
  </si>
  <si>
    <t>CLI_NM</t>
  </si>
  <si>
    <t>OXA</t>
  </si>
  <si>
    <t>OXA_ND1</t>
  </si>
  <si>
    <t>OXA_NM</t>
  </si>
  <si>
    <t>VAN_ND30</t>
  </si>
  <si>
    <t>VAN_NM</t>
  </si>
  <si>
    <t>PEN_ND10</t>
  </si>
  <si>
    <t>PEN_NM</t>
  </si>
  <si>
    <t>LNZ_ND30</t>
  </si>
  <si>
    <t>LNZ_NM</t>
  </si>
  <si>
    <t>RIF</t>
  </si>
  <si>
    <t>RIF_ND5</t>
  </si>
  <si>
    <t>RIF_NM</t>
  </si>
  <si>
    <t>GEH</t>
  </si>
  <si>
    <t>GEH_ND120</t>
  </si>
  <si>
    <t>GEH_NM</t>
  </si>
  <si>
    <t>CEC</t>
  </si>
  <si>
    <t>CEC_ND30</t>
  </si>
  <si>
    <t>CEC_NM</t>
  </si>
  <si>
    <t>CFM</t>
  </si>
  <si>
    <t>CFM_ND5</t>
  </si>
  <si>
    <t>CFM_NM</t>
  </si>
  <si>
    <t>CPT</t>
  </si>
  <si>
    <t>CPT_ND30</t>
  </si>
  <si>
    <t>CPT_NM</t>
  </si>
  <si>
    <t>DAP</t>
  </si>
  <si>
    <t>DAP_ND30</t>
  </si>
  <si>
    <t>DAP_NM</t>
  </si>
  <si>
    <t xml:space="preserve"> Azithromycin</t>
  </si>
  <si>
    <t xml:space="preserve"> Oxacillin</t>
  </si>
  <si>
    <t xml:space="preserve"> Erythromycin</t>
  </si>
  <si>
    <t xml:space="preserve"> Clindamycin</t>
  </si>
  <si>
    <t xml:space="preserve"> Chloramphenicol</t>
  </si>
  <si>
    <t xml:space="preserve">   Daptomycin</t>
  </si>
  <si>
    <t>CXA|CXM</t>
  </si>
  <si>
    <t>CXA_ND30|CXM_ND30</t>
  </si>
  <si>
    <t>CXA_NM|CXM_NM</t>
  </si>
  <si>
    <t>AMP_ND10|PEN_ND10|AMC_ND20|SAM_ND10|TZP_ND100|CLI_ND2|ETP_ND10|IPM_ND10|MEM_ND10|MTR_ND|IMR_ND10|CTT_ND30|FOX_ND30|CRO_ND30|MFX_ND5|TCY_ND30</t>
  </si>
  <si>
    <t>AMP|PEN|AMC|SAM|TZP|CLI|ETP|IPM|MEM|MTR|IMR|CTT|FOX|CRO|MFX|TCY</t>
  </si>
  <si>
    <t>Any</t>
  </si>
  <si>
    <t>AMP_NM|PEN_NM|AMC_NM|SAM_NM|TZP_NM|CLI_NM|ETP_NM|IPM_NM|MEM_NM|MTR_NM|IMR_NM|CTT_NM|FOX_NM|CRO_NM|MFX_NM|TCY_NM</t>
  </si>
  <si>
    <t>Beta-Lactam Drugs (CZA, IMR, MEV)</t>
  </si>
  <si>
    <t>CZA_ND30|IMR_ND10|MEV_ND20</t>
  </si>
  <si>
    <t>CZA|IMR|MEV</t>
  </si>
  <si>
    <t>CZA_NM|IMR_NM|MEV_NM</t>
  </si>
  <si>
    <t>CZA|CZT|IMR</t>
  </si>
  <si>
    <t>CZA_ND30|CZT_ND30|IMR_ND10</t>
  </si>
  <si>
    <t>CZA_NM|CZT_NM|IMR_NM</t>
  </si>
  <si>
    <t>Macrolides (AZM, ERY)</t>
  </si>
  <si>
    <t>AZM|ERY</t>
  </si>
  <si>
    <t>AZM_ND15|ERY_ND15</t>
  </si>
  <si>
    <t>AZM_NM|ERY_NM</t>
  </si>
  <si>
    <t>Flouroquinolones (CIP, LVX)</t>
  </si>
  <si>
    <t>CIP|LVX</t>
  </si>
  <si>
    <t>CIP_ND5|LVX_ND5</t>
  </si>
  <si>
    <t>CIP_NM|LVX_NM</t>
  </si>
  <si>
    <t>CTX|CRO|CAZ</t>
  </si>
  <si>
    <t>CTX_ND30|CRO_ND30</t>
  </si>
  <si>
    <t>CTX_ND30|CRO_ND30|CAZ_ND30</t>
  </si>
  <si>
    <t>CTX_NM|CRO_NM</t>
  </si>
  <si>
    <t>CTX_NM|CRO_NM|CAZ_NM</t>
  </si>
  <si>
    <t>Cephalosphorins (CTX, CRO, CAZ)</t>
  </si>
  <si>
    <t>Carbapenems (ETP, IPM)</t>
  </si>
  <si>
    <t>ETP|IPM</t>
  </si>
  <si>
    <t>ETP_ND10|IPM_ND10</t>
  </si>
  <si>
    <t>ETP_NM|IPM_NM</t>
  </si>
  <si>
    <t>Flouroquinolones (LVX, MFX)</t>
  </si>
  <si>
    <t>LVX|MFX</t>
  </si>
  <si>
    <t>LVX_ND5|MFX_ND5</t>
  </si>
  <si>
    <t>LVX_NM|MFX_NM</t>
  </si>
  <si>
    <t>PEN|AMP</t>
  </si>
  <si>
    <t>PEN_ND10|AMP_ND10</t>
  </si>
  <si>
    <t>PEN_NM|AMP_NM</t>
  </si>
  <si>
    <t>B-Lactam Penicillins (PEN, AMP)</t>
  </si>
  <si>
    <t>Cephalosphorins (CTX, CRO)</t>
  </si>
  <si>
    <t>CTX|CRO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</si>
</sst>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2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2" fillId="8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0" fontId="2" fillId="9" borderId="1" xfId="1" applyFont="1" applyFill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2">
    <cellStyle name="Normal" xfId="0" builtinId="0"/>
    <cellStyle name="Normal_Sheet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2195-C3A4-44EE-9A8D-5452FD19D17F}">
  <dimension ref="A1:F185"/>
  <sheetViews>
    <sheetView tabSelected="1" workbookViewId="0">
      <selection activeCell="K18" sqref="K18"/>
    </sheetView>
  </sheetViews>
  <sheetFormatPr defaultRowHeight="15" x14ac:dyDescent="0.25"/>
  <cols>
    <col min="1" max="1" width="70.7109375" customWidth="1"/>
    <col min="2" max="2" width="30.5703125" bestFit="1" customWidth="1"/>
    <col min="3" max="3" width="14" bestFit="1" customWidth="1"/>
    <col min="4" max="4" width="31.28515625" customWidth="1"/>
    <col min="5" max="5" width="26.7109375" customWidth="1"/>
  </cols>
  <sheetData>
    <row r="1" spans="1:5" x14ac:dyDescent="0.25">
      <c r="A1" s="46" t="s">
        <v>385</v>
      </c>
      <c r="B1" s="1" t="s">
        <v>214</v>
      </c>
      <c r="C1" s="1" t="s">
        <v>0</v>
      </c>
      <c r="D1" s="1" t="s">
        <v>163</v>
      </c>
      <c r="E1" s="1" t="s">
        <v>164</v>
      </c>
    </row>
    <row r="2" spans="1:5" x14ac:dyDescent="0.25">
      <c r="A2" s="45" t="s">
        <v>341</v>
      </c>
      <c r="B2" s="2" t="s">
        <v>1</v>
      </c>
      <c r="C2" s="2" t="s">
        <v>157</v>
      </c>
      <c r="D2" s="2" t="s">
        <v>295</v>
      </c>
      <c r="E2" s="2" t="s">
        <v>313</v>
      </c>
    </row>
    <row r="3" spans="1:5" x14ac:dyDescent="0.25">
      <c r="A3" s="45" t="s">
        <v>341</v>
      </c>
      <c r="B3" s="3" t="s">
        <v>11</v>
      </c>
      <c r="C3" s="2" t="s">
        <v>330</v>
      </c>
      <c r="D3" s="6" t="s">
        <v>386</v>
      </c>
      <c r="E3" s="6" t="s">
        <v>314</v>
      </c>
    </row>
    <row r="4" spans="1:5" x14ac:dyDescent="0.25">
      <c r="A4" s="45" t="s">
        <v>341</v>
      </c>
      <c r="B4" s="41" t="s">
        <v>262</v>
      </c>
      <c r="C4" s="2" t="s">
        <v>159</v>
      </c>
      <c r="D4" s="2" t="s">
        <v>387</v>
      </c>
      <c r="E4" s="2" t="s">
        <v>388</v>
      </c>
    </row>
    <row r="5" spans="1:5" x14ac:dyDescent="0.25">
      <c r="A5" s="45" t="s">
        <v>341</v>
      </c>
      <c r="B5" s="3" t="s">
        <v>16</v>
      </c>
      <c r="C5" s="2" t="s">
        <v>160</v>
      </c>
      <c r="D5" s="6" t="s">
        <v>389</v>
      </c>
      <c r="E5" s="2" t="s">
        <v>390</v>
      </c>
    </row>
    <row r="6" spans="1:5" x14ac:dyDescent="0.25">
      <c r="A6" s="45" t="s">
        <v>341</v>
      </c>
      <c r="B6" s="2" t="s">
        <v>259</v>
      </c>
      <c r="C6" s="2" t="s">
        <v>391</v>
      </c>
      <c r="D6" s="2" t="s">
        <v>392</v>
      </c>
      <c r="E6" s="2" t="s">
        <v>393</v>
      </c>
    </row>
    <row r="7" spans="1:5" x14ac:dyDescent="0.25">
      <c r="A7" s="45" t="s">
        <v>341</v>
      </c>
      <c r="B7" s="2" t="s">
        <v>109</v>
      </c>
      <c r="C7" s="2" t="s">
        <v>394</v>
      </c>
      <c r="D7" s="2" t="s">
        <v>395</v>
      </c>
      <c r="E7" s="2" t="s">
        <v>396</v>
      </c>
    </row>
    <row r="8" spans="1:5" x14ac:dyDescent="0.25">
      <c r="A8" s="45" t="s">
        <v>341</v>
      </c>
      <c r="B8" s="2" t="s">
        <v>34</v>
      </c>
      <c r="C8" s="2" t="s">
        <v>397</v>
      </c>
      <c r="D8" s="2" t="s">
        <v>398</v>
      </c>
      <c r="E8" s="8" t="s">
        <v>399</v>
      </c>
    </row>
    <row r="9" spans="1:5" x14ac:dyDescent="0.25">
      <c r="A9" s="45" t="s">
        <v>341</v>
      </c>
      <c r="B9" s="5" t="s">
        <v>23</v>
      </c>
      <c r="C9" s="2" t="s">
        <v>337</v>
      </c>
      <c r="D9" s="6" t="s">
        <v>296</v>
      </c>
      <c r="E9" s="6" t="s">
        <v>308</v>
      </c>
    </row>
    <row r="10" spans="1:5" x14ac:dyDescent="0.25">
      <c r="A10" s="45" t="s">
        <v>341</v>
      </c>
      <c r="B10" s="2" t="s">
        <v>19</v>
      </c>
      <c r="C10" s="2" t="s">
        <v>400</v>
      </c>
      <c r="D10" s="2" t="s">
        <v>401</v>
      </c>
      <c r="E10" s="2" t="s">
        <v>402</v>
      </c>
    </row>
    <row r="11" spans="1:5" x14ac:dyDescent="0.25">
      <c r="A11" s="45" t="s">
        <v>341</v>
      </c>
      <c r="B11" s="2" t="s">
        <v>27</v>
      </c>
      <c r="C11" s="2" t="s">
        <v>161</v>
      </c>
      <c r="D11" s="2" t="s">
        <v>403</v>
      </c>
      <c r="E11" s="2" t="s">
        <v>404</v>
      </c>
    </row>
    <row r="12" spans="1:5" x14ac:dyDescent="0.25">
      <c r="A12" s="45" t="s">
        <v>341</v>
      </c>
      <c r="B12" s="7" t="s">
        <v>115</v>
      </c>
      <c r="C12" s="2" t="s">
        <v>339</v>
      </c>
      <c r="D12" s="7" t="s">
        <v>297</v>
      </c>
      <c r="E12" s="7" t="s">
        <v>311</v>
      </c>
    </row>
    <row r="13" spans="1:5" x14ac:dyDescent="0.25">
      <c r="A13" s="45" t="s">
        <v>341</v>
      </c>
      <c r="B13" s="7" t="s">
        <v>342</v>
      </c>
      <c r="C13" s="2" t="s">
        <v>464</v>
      </c>
      <c r="D13" s="3" t="s">
        <v>465</v>
      </c>
      <c r="E13" s="3" t="s">
        <v>466</v>
      </c>
    </row>
    <row r="14" spans="1:5" x14ac:dyDescent="0.25">
      <c r="A14" s="45" t="s">
        <v>341</v>
      </c>
      <c r="B14" s="4" t="s">
        <v>43</v>
      </c>
      <c r="C14" s="2" t="s">
        <v>166</v>
      </c>
      <c r="D14" s="6" t="s">
        <v>298</v>
      </c>
      <c r="E14" s="6" t="s">
        <v>310</v>
      </c>
    </row>
    <row r="15" spans="1:5" x14ac:dyDescent="0.25">
      <c r="A15" s="45" t="s">
        <v>341</v>
      </c>
      <c r="B15" s="2" t="s">
        <v>52</v>
      </c>
      <c r="C15" s="2" t="s">
        <v>408</v>
      </c>
      <c r="D15" s="2" t="s">
        <v>409</v>
      </c>
      <c r="E15" s="2" t="s">
        <v>410</v>
      </c>
    </row>
    <row r="16" spans="1:5" x14ac:dyDescent="0.25">
      <c r="A16" s="45" t="s">
        <v>341</v>
      </c>
      <c r="B16" s="5" t="s">
        <v>56</v>
      </c>
      <c r="C16" s="2" t="s">
        <v>333</v>
      </c>
      <c r="D16" s="6" t="s">
        <v>299</v>
      </c>
      <c r="E16" s="6" t="s">
        <v>306</v>
      </c>
    </row>
    <row r="17" spans="1:5" x14ac:dyDescent="0.25">
      <c r="A17" s="45" t="s">
        <v>341</v>
      </c>
      <c r="B17" s="3" t="s">
        <v>60</v>
      </c>
      <c r="C17" s="2" t="s">
        <v>334</v>
      </c>
      <c r="D17" s="6" t="s">
        <v>300</v>
      </c>
      <c r="E17" s="6" t="s">
        <v>307</v>
      </c>
    </row>
    <row r="18" spans="1:5" x14ac:dyDescent="0.25">
      <c r="A18" s="45" t="s">
        <v>341</v>
      </c>
      <c r="B18" s="5" t="s">
        <v>68</v>
      </c>
      <c r="C18" s="2" t="s">
        <v>411</v>
      </c>
      <c r="D18" s="6" t="s">
        <v>412</v>
      </c>
      <c r="E18" s="6" t="s">
        <v>413</v>
      </c>
    </row>
    <row r="19" spans="1:5" x14ac:dyDescent="0.25">
      <c r="A19" s="45" t="s">
        <v>341</v>
      </c>
      <c r="B19" s="6" t="s">
        <v>39</v>
      </c>
      <c r="C19" s="2" t="s">
        <v>336</v>
      </c>
      <c r="D19" s="6" t="s">
        <v>301</v>
      </c>
      <c r="E19" s="6" t="s">
        <v>309</v>
      </c>
    </row>
    <row r="20" spans="1:5" x14ac:dyDescent="0.25">
      <c r="A20" s="45" t="s">
        <v>341</v>
      </c>
      <c r="B20" s="6" t="s">
        <v>47</v>
      </c>
      <c r="C20" s="2" t="s">
        <v>331</v>
      </c>
      <c r="D20" s="3" t="s">
        <v>302</v>
      </c>
      <c r="E20" s="3" t="s">
        <v>315</v>
      </c>
    </row>
    <row r="21" spans="1:5" x14ac:dyDescent="0.25">
      <c r="A21" s="45" t="s">
        <v>341</v>
      </c>
      <c r="B21" s="3" t="s">
        <v>67</v>
      </c>
      <c r="C21" s="2" t="s">
        <v>162</v>
      </c>
      <c r="D21" s="6" t="s">
        <v>303</v>
      </c>
      <c r="E21" s="6" t="s">
        <v>312</v>
      </c>
    </row>
    <row r="22" spans="1:5" x14ac:dyDescent="0.25">
      <c r="A22" s="45" t="s">
        <v>341</v>
      </c>
      <c r="B22" s="3" t="s">
        <v>471</v>
      </c>
      <c r="C22" s="2" t="s">
        <v>473</v>
      </c>
      <c r="D22" s="6" t="s">
        <v>472</v>
      </c>
      <c r="E22" s="6" t="s">
        <v>474</v>
      </c>
    </row>
    <row r="23" spans="1:5" x14ac:dyDescent="0.25">
      <c r="A23" s="45" t="s">
        <v>341</v>
      </c>
      <c r="B23" s="3" t="s">
        <v>87</v>
      </c>
      <c r="C23" s="2" t="s">
        <v>414</v>
      </c>
      <c r="D23" s="6" t="s">
        <v>415</v>
      </c>
      <c r="E23" s="10" t="s">
        <v>416</v>
      </c>
    </row>
    <row r="24" spans="1:5" x14ac:dyDescent="0.25">
      <c r="A24" s="45" t="s">
        <v>341</v>
      </c>
      <c r="B24" s="5" t="s">
        <v>88</v>
      </c>
      <c r="C24" s="2" t="s">
        <v>332</v>
      </c>
      <c r="D24" s="6" t="s">
        <v>304</v>
      </c>
      <c r="E24" s="6" t="s">
        <v>305</v>
      </c>
    </row>
    <row r="25" spans="1:5" x14ac:dyDescent="0.25">
      <c r="A25" s="45" t="s">
        <v>341</v>
      </c>
      <c r="B25" s="3" t="s">
        <v>92</v>
      </c>
      <c r="C25" s="2" t="s">
        <v>417</v>
      </c>
      <c r="D25" s="7" t="s">
        <v>418</v>
      </c>
      <c r="E25" s="7" t="s">
        <v>419</v>
      </c>
    </row>
    <row r="26" spans="1:5" x14ac:dyDescent="0.25">
      <c r="A26" s="45" t="s">
        <v>341</v>
      </c>
      <c r="B26" s="3" t="s">
        <v>11</v>
      </c>
      <c r="C26" s="2" t="s">
        <v>330</v>
      </c>
      <c r="D26" s="6" t="s">
        <v>386</v>
      </c>
      <c r="E26" s="6" t="s">
        <v>314</v>
      </c>
    </row>
    <row r="27" spans="1:5" x14ac:dyDescent="0.25">
      <c r="A27" s="45" t="s">
        <v>341</v>
      </c>
      <c r="B27" s="3" t="s">
        <v>101</v>
      </c>
      <c r="C27" s="2" t="s">
        <v>420</v>
      </c>
      <c r="D27" s="2" t="s">
        <v>421</v>
      </c>
      <c r="E27" s="2" t="s">
        <v>422</v>
      </c>
    </row>
    <row r="28" spans="1:5" x14ac:dyDescent="0.25">
      <c r="A28" s="45" t="s">
        <v>341</v>
      </c>
      <c r="B28" s="3" t="s">
        <v>242</v>
      </c>
      <c r="C28" s="2" t="s">
        <v>423</v>
      </c>
      <c r="D28" s="7" t="s">
        <v>424</v>
      </c>
      <c r="E28" s="7" t="s">
        <v>425</v>
      </c>
    </row>
    <row r="29" spans="1:5" x14ac:dyDescent="0.25">
      <c r="A29" s="45" t="s">
        <v>343</v>
      </c>
      <c r="B29" s="25" t="s">
        <v>1</v>
      </c>
      <c r="C29" s="2" t="s">
        <v>157</v>
      </c>
      <c r="D29" s="2" t="s">
        <v>295</v>
      </c>
      <c r="E29" s="2" t="s">
        <v>313</v>
      </c>
    </row>
    <row r="30" spans="1:5" x14ac:dyDescent="0.25">
      <c r="A30" s="45" t="s">
        <v>343</v>
      </c>
      <c r="B30" s="25" t="s">
        <v>19</v>
      </c>
      <c r="C30" s="2" t="s">
        <v>400</v>
      </c>
      <c r="D30" s="2" t="s">
        <v>401</v>
      </c>
      <c r="E30" s="2" t="s">
        <v>402</v>
      </c>
    </row>
    <row r="31" spans="1:5" x14ac:dyDescent="0.25">
      <c r="A31" s="45" t="s">
        <v>343</v>
      </c>
      <c r="B31" s="25" t="s">
        <v>27</v>
      </c>
      <c r="C31" s="2" t="s">
        <v>161</v>
      </c>
      <c r="D31" s="2" t="s">
        <v>403</v>
      </c>
      <c r="E31" s="2" t="s">
        <v>404</v>
      </c>
    </row>
    <row r="32" spans="1:5" x14ac:dyDescent="0.25">
      <c r="A32" s="45" t="s">
        <v>343</v>
      </c>
      <c r="B32" s="28" t="s">
        <v>115</v>
      </c>
      <c r="C32" s="7" t="s">
        <v>339</v>
      </c>
      <c r="D32" s="7" t="s">
        <v>297</v>
      </c>
      <c r="E32" s="7" t="s">
        <v>311</v>
      </c>
    </row>
    <row r="33" spans="1:5" x14ac:dyDescent="0.25">
      <c r="A33" s="45" t="s">
        <v>343</v>
      </c>
      <c r="B33" s="26" t="s">
        <v>12</v>
      </c>
      <c r="C33" s="4" t="s">
        <v>159</v>
      </c>
      <c r="D33" s="2" t="s">
        <v>387</v>
      </c>
      <c r="E33" s="2" t="s">
        <v>388</v>
      </c>
    </row>
    <row r="34" spans="1:5" x14ac:dyDescent="0.25">
      <c r="A34" s="45" t="s">
        <v>343</v>
      </c>
      <c r="B34" s="27" t="s">
        <v>16</v>
      </c>
      <c r="C34" s="3" t="s">
        <v>160</v>
      </c>
      <c r="D34" s="2" t="s">
        <v>389</v>
      </c>
      <c r="E34" s="2" t="s">
        <v>390</v>
      </c>
    </row>
    <row r="35" spans="1:5" x14ac:dyDescent="0.25">
      <c r="A35" s="45" t="s">
        <v>343</v>
      </c>
      <c r="B35" s="28" t="s">
        <v>458</v>
      </c>
      <c r="C35" s="7" t="s">
        <v>335</v>
      </c>
      <c r="D35" s="2" t="s">
        <v>426</v>
      </c>
      <c r="E35" s="2" t="s">
        <v>318</v>
      </c>
    </row>
    <row r="36" spans="1:5" x14ac:dyDescent="0.25">
      <c r="A36" s="45" t="s">
        <v>343</v>
      </c>
      <c r="B36" s="25" t="s">
        <v>52</v>
      </c>
      <c r="C36" s="2" t="s">
        <v>408</v>
      </c>
      <c r="D36" s="2" t="s">
        <v>409</v>
      </c>
      <c r="E36" s="2" t="s">
        <v>410</v>
      </c>
    </row>
    <row r="37" spans="1:5" x14ac:dyDescent="0.25">
      <c r="A37" s="45" t="s">
        <v>343</v>
      </c>
      <c r="B37" s="27" t="s">
        <v>56</v>
      </c>
      <c r="C37" s="2" t="s">
        <v>333</v>
      </c>
      <c r="D37" s="6" t="s">
        <v>299</v>
      </c>
      <c r="E37" s="6" t="s">
        <v>306</v>
      </c>
    </row>
    <row r="38" spans="1:5" x14ac:dyDescent="0.25">
      <c r="A38" s="45" t="s">
        <v>343</v>
      </c>
      <c r="B38" s="26" t="s">
        <v>60</v>
      </c>
      <c r="C38" s="2" t="s">
        <v>334</v>
      </c>
      <c r="D38" s="6" t="s">
        <v>300</v>
      </c>
      <c r="E38" s="6" t="s">
        <v>307</v>
      </c>
    </row>
    <row r="39" spans="1:5" x14ac:dyDescent="0.25">
      <c r="A39" s="45" t="s">
        <v>343</v>
      </c>
      <c r="B39" s="26" t="s">
        <v>67</v>
      </c>
      <c r="C39" s="2" t="s">
        <v>162</v>
      </c>
      <c r="D39" s="6" t="s">
        <v>303</v>
      </c>
      <c r="E39" s="6" t="s">
        <v>312</v>
      </c>
    </row>
    <row r="40" spans="1:5" x14ac:dyDescent="0.25">
      <c r="A40" s="45" t="s">
        <v>343</v>
      </c>
      <c r="B40" s="2" t="s">
        <v>242</v>
      </c>
      <c r="C40" s="2" t="s">
        <v>423</v>
      </c>
      <c r="D40" s="2" t="s">
        <v>424</v>
      </c>
      <c r="E40" s="2" t="s">
        <v>425</v>
      </c>
    </row>
    <row r="41" spans="1:5" x14ac:dyDescent="0.25">
      <c r="A41" s="45" t="s">
        <v>346</v>
      </c>
      <c r="B41" s="34" t="s">
        <v>88</v>
      </c>
      <c r="C41" s="4" t="s">
        <v>332</v>
      </c>
      <c r="D41" s="6" t="s">
        <v>304</v>
      </c>
      <c r="E41" s="6" t="s">
        <v>305</v>
      </c>
    </row>
    <row r="42" spans="1:5" x14ac:dyDescent="0.25">
      <c r="A42" s="45" t="s">
        <v>346</v>
      </c>
      <c r="B42" s="35" t="s">
        <v>43</v>
      </c>
      <c r="C42" s="4" t="s">
        <v>166</v>
      </c>
      <c r="D42" s="6" t="s">
        <v>298</v>
      </c>
      <c r="E42" s="6" t="s">
        <v>310</v>
      </c>
    </row>
    <row r="43" spans="1:5" x14ac:dyDescent="0.25">
      <c r="A43" s="45" t="s">
        <v>346</v>
      </c>
      <c r="B43" s="22" t="s">
        <v>34</v>
      </c>
      <c r="C43" s="4" t="s">
        <v>397</v>
      </c>
      <c r="D43" s="2" t="s">
        <v>398</v>
      </c>
      <c r="E43" s="8" t="s">
        <v>399</v>
      </c>
    </row>
    <row r="44" spans="1:5" x14ac:dyDescent="0.25">
      <c r="A44" s="45" t="s">
        <v>346</v>
      </c>
      <c r="B44" s="34" t="s">
        <v>68</v>
      </c>
      <c r="C44" s="4" t="s">
        <v>411</v>
      </c>
      <c r="D44" s="6" t="s">
        <v>412</v>
      </c>
      <c r="E44" s="6" t="s">
        <v>413</v>
      </c>
    </row>
    <row r="45" spans="1:5" x14ac:dyDescent="0.25">
      <c r="A45" s="45" t="s">
        <v>346</v>
      </c>
      <c r="B45" s="22" t="s">
        <v>19</v>
      </c>
      <c r="C45" s="4" t="s">
        <v>400</v>
      </c>
      <c r="D45" s="2" t="s">
        <v>401</v>
      </c>
      <c r="E45" s="2" t="s">
        <v>402</v>
      </c>
    </row>
    <row r="46" spans="1:5" x14ac:dyDescent="0.25">
      <c r="A46" s="45" t="s">
        <v>346</v>
      </c>
      <c r="B46" s="22" t="s">
        <v>27</v>
      </c>
      <c r="C46" s="4" t="s">
        <v>161</v>
      </c>
      <c r="D46" s="2" t="s">
        <v>403</v>
      </c>
      <c r="E46" s="2" t="s">
        <v>404</v>
      </c>
    </row>
    <row r="47" spans="1:5" x14ac:dyDescent="0.25">
      <c r="A47" s="45" t="s">
        <v>346</v>
      </c>
      <c r="B47" s="34" t="s">
        <v>56</v>
      </c>
      <c r="C47" s="4" t="s">
        <v>333</v>
      </c>
      <c r="D47" s="6" t="s">
        <v>299</v>
      </c>
      <c r="E47" s="6" t="s">
        <v>306</v>
      </c>
    </row>
    <row r="48" spans="1:5" x14ac:dyDescent="0.25">
      <c r="A48" s="45" t="s">
        <v>346</v>
      </c>
      <c r="B48" s="24" t="s">
        <v>60</v>
      </c>
      <c r="C48" s="4" t="s">
        <v>334</v>
      </c>
      <c r="D48" s="6" t="s">
        <v>300</v>
      </c>
      <c r="E48" s="6" t="s">
        <v>307</v>
      </c>
    </row>
    <row r="49" spans="1:5" x14ac:dyDescent="0.25">
      <c r="A49" s="45" t="s">
        <v>346</v>
      </c>
      <c r="B49" s="3" t="s">
        <v>471</v>
      </c>
      <c r="C49" s="4" t="s">
        <v>475</v>
      </c>
      <c r="D49" s="6" t="s">
        <v>476</v>
      </c>
      <c r="E49" s="6" t="s">
        <v>477</v>
      </c>
    </row>
    <row r="50" spans="1:5" x14ac:dyDescent="0.25">
      <c r="A50" s="45" t="s">
        <v>346</v>
      </c>
      <c r="B50" s="24" t="s">
        <v>87</v>
      </c>
      <c r="C50" s="4" t="s">
        <v>414</v>
      </c>
      <c r="D50" s="6" t="s">
        <v>415</v>
      </c>
      <c r="E50" s="10" t="s">
        <v>416</v>
      </c>
    </row>
    <row r="51" spans="1:5" x14ac:dyDescent="0.25">
      <c r="A51" s="45" t="s">
        <v>346</v>
      </c>
      <c r="B51" s="6" t="s">
        <v>39</v>
      </c>
      <c r="C51" s="4" t="s">
        <v>336</v>
      </c>
      <c r="D51" s="7" t="s">
        <v>301</v>
      </c>
      <c r="E51" s="7" t="s">
        <v>309</v>
      </c>
    </row>
    <row r="52" spans="1:5" x14ac:dyDescent="0.25">
      <c r="A52" s="45" t="s">
        <v>346</v>
      </c>
      <c r="B52" s="24" t="s">
        <v>242</v>
      </c>
      <c r="C52" s="2" t="s">
        <v>423</v>
      </c>
      <c r="D52" s="7" t="s">
        <v>424</v>
      </c>
      <c r="E52" s="7" t="s">
        <v>425</v>
      </c>
    </row>
    <row r="53" spans="1:5" x14ac:dyDescent="0.25">
      <c r="A53" s="45" t="s">
        <v>344</v>
      </c>
      <c r="B53" s="2" t="s">
        <v>109</v>
      </c>
      <c r="C53" s="2" t="s">
        <v>394</v>
      </c>
      <c r="D53" s="2" t="s">
        <v>395</v>
      </c>
      <c r="E53" s="2" t="s">
        <v>396</v>
      </c>
    </row>
    <row r="54" spans="1:5" x14ac:dyDescent="0.25">
      <c r="A54" s="45" t="s">
        <v>344</v>
      </c>
      <c r="B54" s="5" t="s">
        <v>88</v>
      </c>
      <c r="C54" s="2" t="s">
        <v>332</v>
      </c>
      <c r="D54" s="6" t="s">
        <v>304</v>
      </c>
      <c r="E54" s="6" t="s">
        <v>305</v>
      </c>
    </row>
    <row r="55" spans="1:5" x14ac:dyDescent="0.25">
      <c r="A55" s="45" t="s">
        <v>344</v>
      </c>
      <c r="B55" s="4" t="s">
        <v>43</v>
      </c>
      <c r="C55" s="2" t="s">
        <v>166</v>
      </c>
      <c r="D55" s="6" t="s">
        <v>298</v>
      </c>
      <c r="E55" s="6" t="s">
        <v>310</v>
      </c>
    </row>
    <row r="56" spans="1:5" x14ac:dyDescent="0.25">
      <c r="A56" s="45" t="s">
        <v>344</v>
      </c>
      <c r="B56" s="2" t="s">
        <v>19</v>
      </c>
      <c r="C56" s="2" t="s">
        <v>400</v>
      </c>
      <c r="D56" s="2" t="s">
        <v>401</v>
      </c>
      <c r="E56" s="2" t="s">
        <v>402</v>
      </c>
    </row>
    <row r="57" spans="1:5" x14ac:dyDescent="0.25">
      <c r="A57" s="45" t="s">
        <v>344</v>
      </c>
      <c r="B57" s="2" t="s">
        <v>27</v>
      </c>
      <c r="C57" s="2" t="s">
        <v>161</v>
      </c>
      <c r="D57" s="2" t="s">
        <v>403</v>
      </c>
      <c r="E57" s="2" t="s">
        <v>404</v>
      </c>
    </row>
    <row r="58" spans="1:5" x14ac:dyDescent="0.25">
      <c r="A58" s="45" t="s">
        <v>344</v>
      </c>
      <c r="B58" s="5" t="s">
        <v>23</v>
      </c>
      <c r="C58" s="2" t="s">
        <v>337</v>
      </c>
      <c r="D58" s="6" t="s">
        <v>296</v>
      </c>
      <c r="E58" s="6" t="s">
        <v>308</v>
      </c>
    </row>
    <row r="59" spans="1:5" x14ac:dyDescent="0.25">
      <c r="A59" s="45" t="s">
        <v>344</v>
      </c>
      <c r="B59" s="5" t="s">
        <v>68</v>
      </c>
      <c r="C59" s="2" t="s">
        <v>411</v>
      </c>
      <c r="D59" s="6" t="s">
        <v>412</v>
      </c>
      <c r="E59" s="6" t="s">
        <v>413</v>
      </c>
    </row>
    <row r="60" spans="1:5" x14ac:dyDescent="0.25">
      <c r="A60" s="45" t="s">
        <v>344</v>
      </c>
      <c r="B60" s="5" t="s">
        <v>56</v>
      </c>
      <c r="C60" s="2" t="s">
        <v>333</v>
      </c>
      <c r="D60" s="6" t="s">
        <v>299</v>
      </c>
      <c r="E60" s="6" t="s">
        <v>306</v>
      </c>
    </row>
    <row r="61" spans="1:5" x14ac:dyDescent="0.25">
      <c r="A61" s="45" t="s">
        <v>344</v>
      </c>
      <c r="B61" s="3" t="s">
        <v>60</v>
      </c>
      <c r="C61" s="2" t="s">
        <v>334</v>
      </c>
      <c r="D61" s="6" t="s">
        <v>300</v>
      </c>
      <c r="E61" s="6" t="s">
        <v>307</v>
      </c>
    </row>
    <row r="62" spans="1:5" x14ac:dyDescent="0.25">
      <c r="A62" s="45" t="s">
        <v>344</v>
      </c>
      <c r="B62" s="6" t="s">
        <v>39</v>
      </c>
      <c r="C62" s="2" t="s">
        <v>336</v>
      </c>
      <c r="D62" s="6" t="s">
        <v>301</v>
      </c>
      <c r="E62" s="6" t="s">
        <v>309</v>
      </c>
    </row>
    <row r="63" spans="1:5" x14ac:dyDescent="0.25">
      <c r="A63" s="45" t="s">
        <v>344</v>
      </c>
      <c r="B63" s="3" t="s">
        <v>34</v>
      </c>
      <c r="C63" s="2" t="s">
        <v>397</v>
      </c>
      <c r="D63" s="6" t="s">
        <v>398</v>
      </c>
      <c r="E63" s="6" t="s">
        <v>399</v>
      </c>
    </row>
    <row r="64" spans="1:5" x14ac:dyDescent="0.25">
      <c r="A64" s="45" t="s">
        <v>344</v>
      </c>
      <c r="B64" s="7" t="s">
        <v>35</v>
      </c>
      <c r="C64" s="2" t="s">
        <v>339</v>
      </c>
      <c r="D64" s="7" t="s">
        <v>297</v>
      </c>
      <c r="E64" s="7" t="s">
        <v>311</v>
      </c>
    </row>
    <row r="65" spans="1:5" x14ac:dyDescent="0.25">
      <c r="A65" s="45" t="s">
        <v>344</v>
      </c>
      <c r="B65" s="3" t="s">
        <v>12</v>
      </c>
      <c r="C65" s="2" t="s">
        <v>159</v>
      </c>
      <c r="D65" s="6" t="s">
        <v>387</v>
      </c>
      <c r="E65" s="6" t="s">
        <v>388</v>
      </c>
    </row>
    <row r="66" spans="1:5" x14ac:dyDescent="0.25">
      <c r="A66" s="45" t="s">
        <v>344</v>
      </c>
      <c r="B66" s="5" t="s">
        <v>16</v>
      </c>
      <c r="C66" s="2" t="s">
        <v>160</v>
      </c>
      <c r="D66" s="6" t="s">
        <v>389</v>
      </c>
      <c r="E66" s="6" t="s">
        <v>390</v>
      </c>
    </row>
    <row r="67" spans="1:5" x14ac:dyDescent="0.25">
      <c r="A67" s="45" t="s">
        <v>344</v>
      </c>
      <c r="B67" s="3" t="s">
        <v>242</v>
      </c>
      <c r="C67" s="2" t="s">
        <v>423</v>
      </c>
      <c r="D67" s="7" t="s">
        <v>424</v>
      </c>
      <c r="E67" s="7" t="s">
        <v>425</v>
      </c>
    </row>
    <row r="68" spans="1:5" x14ac:dyDescent="0.25">
      <c r="A68" s="45" t="s">
        <v>345</v>
      </c>
      <c r="B68" s="2" t="s">
        <v>27</v>
      </c>
      <c r="C68" s="2" t="s">
        <v>161</v>
      </c>
      <c r="D68" s="2" t="s">
        <v>403</v>
      </c>
      <c r="E68" s="2" t="s">
        <v>404</v>
      </c>
    </row>
    <row r="69" spans="1:5" x14ac:dyDescent="0.25">
      <c r="A69" s="45" t="s">
        <v>345</v>
      </c>
      <c r="B69" s="2" t="s">
        <v>115</v>
      </c>
      <c r="C69" s="2" t="s">
        <v>339</v>
      </c>
      <c r="D69" s="2" t="s">
        <v>297</v>
      </c>
      <c r="E69" s="2" t="s">
        <v>311</v>
      </c>
    </row>
    <row r="70" spans="1:5" ht="45" x14ac:dyDescent="0.25">
      <c r="A70" s="43" t="s">
        <v>347</v>
      </c>
      <c r="B70" s="2" t="s">
        <v>88</v>
      </c>
      <c r="C70" s="2" t="s">
        <v>332</v>
      </c>
      <c r="D70" s="2" t="s">
        <v>304</v>
      </c>
      <c r="E70" s="2" t="s">
        <v>305</v>
      </c>
    </row>
    <row r="71" spans="1:5" ht="45" x14ac:dyDescent="0.25">
      <c r="A71" s="43" t="s">
        <v>347</v>
      </c>
      <c r="B71" s="5" t="s">
        <v>23</v>
      </c>
      <c r="C71" s="2" t="s">
        <v>337</v>
      </c>
      <c r="D71" s="6" t="s">
        <v>296</v>
      </c>
      <c r="E71" s="6" t="s">
        <v>308</v>
      </c>
    </row>
    <row r="72" spans="1:5" ht="45" x14ac:dyDescent="0.25">
      <c r="A72" s="43" t="s">
        <v>347</v>
      </c>
      <c r="B72" s="5" t="s">
        <v>68</v>
      </c>
      <c r="C72" s="2" t="s">
        <v>411</v>
      </c>
      <c r="D72" s="6" t="s">
        <v>412</v>
      </c>
      <c r="E72" s="6" t="s">
        <v>413</v>
      </c>
    </row>
    <row r="73" spans="1:5" ht="45" x14ac:dyDescent="0.25">
      <c r="A73" s="43" t="s">
        <v>347</v>
      </c>
      <c r="B73" s="2" t="s">
        <v>34</v>
      </c>
      <c r="C73" s="2" t="s">
        <v>397</v>
      </c>
      <c r="D73" s="2" t="s">
        <v>398</v>
      </c>
      <c r="E73" s="8" t="s">
        <v>399</v>
      </c>
    </row>
    <row r="74" spans="1:5" ht="45" x14ac:dyDescent="0.25">
      <c r="A74" s="43" t="s">
        <v>347</v>
      </c>
      <c r="B74" s="7" t="s">
        <v>115</v>
      </c>
      <c r="C74" s="2" t="s">
        <v>339</v>
      </c>
      <c r="D74" s="7" t="s">
        <v>297</v>
      </c>
      <c r="E74" s="7" t="s">
        <v>311</v>
      </c>
    </row>
    <row r="75" spans="1:5" ht="45" x14ac:dyDescent="0.25">
      <c r="A75" s="43" t="s">
        <v>347</v>
      </c>
      <c r="B75" s="4" t="s">
        <v>43</v>
      </c>
      <c r="C75" s="4" t="s">
        <v>166</v>
      </c>
      <c r="D75" s="6" t="s">
        <v>298</v>
      </c>
      <c r="E75" s="6" t="s">
        <v>310</v>
      </c>
    </row>
    <row r="76" spans="1:5" ht="45" x14ac:dyDescent="0.25">
      <c r="A76" s="43" t="s">
        <v>347</v>
      </c>
      <c r="B76" s="5" t="s">
        <v>56</v>
      </c>
      <c r="C76" s="2" t="s">
        <v>333</v>
      </c>
      <c r="D76" s="6" t="s">
        <v>299</v>
      </c>
      <c r="E76" s="6" t="s">
        <v>306</v>
      </c>
    </row>
    <row r="77" spans="1:5" ht="45" x14ac:dyDescent="0.25">
      <c r="A77" s="43" t="s">
        <v>347</v>
      </c>
      <c r="B77" s="3" t="s">
        <v>60</v>
      </c>
      <c r="C77" s="2" t="s">
        <v>334</v>
      </c>
      <c r="D77" s="6" t="s">
        <v>300</v>
      </c>
      <c r="E77" s="6" t="s">
        <v>307</v>
      </c>
    </row>
    <row r="78" spans="1:5" ht="45" x14ac:dyDescent="0.25">
      <c r="A78" s="43" t="s">
        <v>347</v>
      </c>
      <c r="B78" s="6" t="s">
        <v>39</v>
      </c>
      <c r="C78" s="2" t="s">
        <v>336</v>
      </c>
      <c r="D78" s="6" t="s">
        <v>301</v>
      </c>
      <c r="E78" s="6" t="s">
        <v>309</v>
      </c>
    </row>
    <row r="79" spans="1:5" ht="45" x14ac:dyDescent="0.25">
      <c r="A79" s="43" t="s">
        <v>347</v>
      </c>
      <c r="B79" s="3" t="s">
        <v>87</v>
      </c>
      <c r="C79" s="4" t="s">
        <v>414</v>
      </c>
      <c r="D79" s="6" t="s">
        <v>415</v>
      </c>
      <c r="E79" s="10" t="s">
        <v>416</v>
      </c>
    </row>
    <row r="80" spans="1:5" ht="45" x14ac:dyDescent="0.25">
      <c r="A80" s="43" t="s">
        <v>347</v>
      </c>
      <c r="B80" s="2" t="s">
        <v>19</v>
      </c>
      <c r="C80" s="2" t="s">
        <v>400</v>
      </c>
      <c r="D80" s="2" t="s">
        <v>401</v>
      </c>
      <c r="E80" s="2" t="s">
        <v>402</v>
      </c>
    </row>
    <row r="81" spans="1:5" ht="45" x14ac:dyDescent="0.25">
      <c r="A81" s="43" t="s">
        <v>347</v>
      </c>
      <c r="B81" s="2" t="s">
        <v>27</v>
      </c>
      <c r="C81" s="2" t="s">
        <v>161</v>
      </c>
      <c r="D81" s="2" t="s">
        <v>403</v>
      </c>
      <c r="E81" s="2" t="s">
        <v>404</v>
      </c>
    </row>
    <row r="82" spans="1:5" ht="45" x14ac:dyDescent="0.25">
      <c r="A82" s="43" t="s">
        <v>347</v>
      </c>
      <c r="B82" s="3" t="s">
        <v>12</v>
      </c>
      <c r="C82" s="2" t="s">
        <v>159</v>
      </c>
      <c r="D82" s="6" t="s">
        <v>387</v>
      </c>
      <c r="E82" s="6" t="s">
        <v>388</v>
      </c>
    </row>
    <row r="83" spans="1:5" ht="45" x14ac:dyDescent="0.25">
      <c r="A83" s="43" t="s">
        <v>347</v>
      </c>
      <c r="B83" s="5" t="s">
        <v>16</v>
      </c>
      <c r="C83" s="2" t="s">
        <v>160</v>
      </c>
      <c r="D83" s="6" t="s">
        <v>389</v>
      </c>
      <c r="E83" s="6" t="s">
        <v>390</v>
      </c>
    </row>
    <row r="84" spans="1:5" ht="45" x14ac:dyDescent="0.25">
      <c r="A84" s="43" t="s">
        <v>347</v>
      </c>
      <c r="B84" s="3" t="s">
        <v>67</v>
      </c>
      <c r="C84" s="2" t="s">
        <v>162</v>
      </c>
      <c r="D84" s="6" t="s">
        <v>303</v>
      </c>
      <c r="E84" s="6" t="s">
        <v>312</v>
      </c>
    </row>
    <row r="85" spans="1:5" x14ac:dyDescent="0.25">
      <c r="A85" s="45" t="s">
        <v>348</v>
      </c>
      <c r="B85" s="23" t="s">
        <v>478</v>
      </c>
      <c r="C85" s="7" t="s">
        <v>479</v>
      </c>
      <c r="D85" s="2" t="s">
        <v>480</v>
      </c>
      <c r="E85" s="2" t="s">
        <v>481</v>
      </c>
    </row>
    <row r="86" spans="1:5" x14ac:dyDescent="0.25">
      <c r="A86" s="45" t="s">
        <v>348</v>
      </c>
      <c r="B86" s="34" t="s">
        <v>151</v>
      </c>
      <c r="C86" s="2" t="s">
        <v>171</v>
      </c>
      <c r="D86" s="2" t="s">
        <v>429</v>
      </c>
      <c r="E86" s="2" t="s">
        <v>430</v>
      </c>
    </row>
    <row r="87" spans="1:5" x14ac:dyDescent="0.25">
      <c r="A87" s="45" t="s">
        <v>348</v>
      </c>
      <c r="B87" s="24" t="s">
        <v>459</v>
      </c>
      <c r="C87" s="2" t="s">
        <v>431</v>
      </c>
      <c r="D87" s="8" t="s">
        <v>432</v>
      </c>
      <c r="E87" s="3" t="s">
        <v>433</v>
      </c>
    </row>
    <row r="88" spans="1:5" x14ac:dyDescent="0.25">
      <c r="A88" s="45" t="s">
        <v>348</v>
      </c>
      <c r="B88" s="23" t="s">
        <v>47</v>
      </c>
      <c r="C88" s="2" t="s">
        <v>331</v>
      </c>
      <c r="D88" s="3"/>
      <c r="E88" s="3" t="s">
        <v>315</v>
      </c>
    </row>
    <row r="89" spans="1:5" x14ac:dyDescent="0.25">
      <c r="A89" s="45" t="s">
        <v>348</v>
      </c>
      <c r="B89" s="24" t="s">
        <v>67</v>
      </c>
      <c r="C89" s="2" t="s">
        <v>162</v>
      </c>
      <c r="D89" s="6" t="s">
        <v>303</v>
      </c>
      <c r="E89" s="6" t="s">
        <v>312</v>
      </c>
    </row>
    <row r="90" spans="1:5" x14ac:dyDescent="0.25">
      <c r="A90" s="45" t="s">
        <v>348</v>
      </c>
      <c r="B90" s="23" t="s">
        <v>115</v>
      </c>
      <c r="C90" s="2" t="s">
        <v>339</v>
      </c>
      <c r="D90" s="7" t="s">
        <v>297</v>
      </c>
      <c r="E90" s="7" t="s">
        <v>311</v>
      </c>
    </row>
    <row r="91" spans="1:5" x14ac:dyDescent="0.25">
      <c r="A91" s="45" t="s">
        <v>348</v>
      </c>
      <c r="B91" s="22" t="s">
        <v>323</v>
      </c>
      <c r="C91" s="2" t="s">
        <v>169</v>
      </c>
      <c r="D91" s="2"/>
      <c r="E91" s="2" t="s">
        <v>435</v>
      </c>
    </row>
    <row r="92" spans="1:5" x14ac:dyDescent="0.25">
      <c r="A92" s="45" t="s">
        <v>348</v>
      </c>
      <c r="B92" s="22" t="s">
        <v>124</v>
      </c>
      <c r="C92" s="2" t="s">
        <v>167</v>
      </c>
      <c r="D92" s="8" t="s">
        <v>436</v>
      </c>
      <c r="E92" s="2" t="s">
        <v>437</v>
      </c>
    </row>
    <row r="93" spans="1:5" x14ac:dyDescent="0.25">
      <c r="A93" s="45" t="s">
        <v>348</v>
      </c>
      <c r="B93" s="22" t="s">
        <v>130</v>
      </c>
      <c r="C93" s="2" t="s">
        <v>168</v>
      </c>
      <c r="D93" s="2" t="s">
        <v>438</v>
      </c>
      <c r="E93" s="2" t="s">
        <v>439</v>
      </c>
    </row>
    <row r="94" spans="1:5" x14ac:dyDescent="0.25">
      <c r="A94" s="45" t="s">
        <v>348</v>
      </c>
      <c r="B94" s="22" t="s">
        <v>116</v>
      </c>
      <c r="C94" s="2" t="s">
        <v>440</v>
      </c>
      <c r="D94" s="2" t="s">
        <v>441</v>
      </c>
      <c r="E94" s="2" t="s">
        <v>442</v>
      </c>
    </row>
    <row r="95" spans="1:5" x14ac:dyDescent="0.25">
      <c r="A95" s="45" t="s">
        <v>348</v>
      </c>
      <c r="B95" s="23" t="s">
        <v>482</v>
      </c>
      <c r="C95" s="7" t="s">
        <v>483</v>
      </c>
      <c r="D95" s="2" t="s">
        <v>484</v>
      </c>
      <c r="E95" s="2" t="s">
        <v>485</v>
      </c>
    </row>
    <row r="96" spans="1:5" x14ac:dyDescent="0.25">
      <c r="A96" s="45" t="s">
        <v>348</v>
      </c>
      <c r="B96" s="34" t="s">
        <v>23</v>
      </c>
      <c r="C96" s="2" t="s">
        <v>337</v>
      </c>
      <c r="D96" s="6" t="s">
        <v>296</v>
      </c>
      <c r="E96" s="6" t="s">
        <v>308</v>
      </c>
    </row>
    <row r="97" spans="1:5" x14ac:dyDescent="0.25">
      <c r="A97" s="45" t="s">
        <v>348</v>
      </c>
      <c r="B97" s="24" t="s">
        <v>101</v>
      </c>
      <c r="C97" s="2" t="s">
        <v>420</v>
      </c>
      <c r="D97" s="2" t="s">
        <v>421</v>
      </c>
      <c r="E97" s="2" t="s">
        <v>422</v>
      </c>
    </row>
    <row r="98" spans="1:5" x14ac:dyDescent="0.25">
      <c r="A98" s="45" t="s">
        <v>349</v>
      </c>
      <c r="B98" s="2" t="s">
        <v>1</v>
      </c>
      <c r="C98" s="2" t="s">
        <v>157</v>
      </c>
      <c r="D98" s="2" t="s">
        <v>295</v>
      </c>
      <c r="E98" s="2" t="s">
        <v>313</v>
      </c>
    </row>
    <row r="99" spans="1:5" x14ac:dyDescent="0.25">
      <c r="A99" s="45" t="s">
        <v>349</v>
      </c>
      <c r="B99" s="2" t="s">
        <v>124</v>
      </c>
      <c r="C99" s="2" t="s">
        <v>167</v>
      </c>
      <c r="D99" s="8" t="s">
        <v>436</v>
      </c>
      <c r="E99" s="2" t="s">
        <v>437</v>
      </c>
    </row>
    <row r="100" spans="1:5" x14ac:dyDescent="0.25">
      <c r="A100" s="45" t="s">
        <v>349</v>
      </c>
      <c r="B100" s="2" t="s">
        <v>134</v>
      </c>
      <c r="C100" s="2" t="s">
        <v>169</v>
      </c>
      <c r="D100" s="2" t="s">
        <v>434</v>
      </c>
      <c r="E100" s="2" t="s">
        <v>435</v>
      </c>
    </row>
    <row r="101" spans="1:5" x14ac:dyDescent="0.25">
      <c r="A101" s="45" t="s">
        <v>349</v>
      </c>
      <c r="B101" s="2" t="s">
        <v>141</v>
      </c>
      <c r="C101" s="2" t="s">
        <v>443</v>
      </c>
      <c r="D101" s="2" t="s">
        <v>444</v>
      </c>
      <c r="E101" s="2" t="s">
        <v>445</v>
      </c>
    </row>
    <row r="102" spans="1:5" x14ac:dyDescent="0.25">
      <c r="A102" s="45" t="s">
        <v>349</v>
      </c>
      <c r="B102" s="2" t="s">
        <v>130</v>
      </c>
      <c r="C102" s="2" t="s">
        <v>168</v>
      </c>
      <c r="D102" s="2" t="s">
        <v>438</v>
      </c>
      <c r="E102" s="2" t="s">
        <v>439</v>
      </c>
    </row>
    <row r="103" spans="1:5" x14ac:dyDescent="0.25">
      <c r="A103" s="45" t="s">
        <v>349</v>
      </c>
      <c r="B103" s="3" t="s">
        <v>101</v>
      </c>
      <c r="C103" s="2" t="s">
        <v>420</v>
      </c>
      <c r="D103" s="2" t="s">
        <v>421</v>
      </c>
      <c r="E103" s="2" t="s">
        <v>422</v>
      </c>
    </row>
    <row r="104" spans="1:5" x14ac:dyDescent="0.25">
      <c r="A104" s="45" t="s">
        <v>349</v>
      </c>
      <c r="B104" s="7" t="s">
        <v>19</v>
      </c>
      <c r="C104" s="7" t="s">
        <v>400</v>
      </c>
      <c r="D104" s="2" t="s">
        <v>401</v>
      </c>
      <c r="E104" s="2" t="s">
        <v>402</v>
      </c>
    </row>
    <row r="105" spans="1:5" x14ac:dyDescent="0.25">
      <c r="A105" s="45" t="s">
        <v>349</v>
      </c>
      <c r="B105" s="2" t="s">
        <v>27</v>
      </c>
      <c r="C105" s="2" t="s">
        <v>161</v>
      </c>
      <c r="D105" s="2" t="s">
        <v>403</v>
      </c>
      <c r="E105" s="2" t="s">
        <v>404</v>
      </c>
    </row>
    <row r="106" spans="1:5" x14ac:dyDescent="0.25">
      <c r="A106" s="45" t="s">
        <v>349</v>
      </c>
      <c r="B106" s="47" t="s">
        <v>67</v>
      </c>
      <c r="C106" s="48" t="s">
        <v>162</v>
      </c>
      <c r="D106" s="49" t="s">
        <v>303</v>
      </c>
      <c r="E106" s="49" t="s">
        <v>312</v>
      </c>
    </row>
    <row r="107" spans="1:5" x14ac:dyDescent="0.25">
      <c r="A107" s="43" t="s">
        <v>350</v>
      </c>
      <c r="B107" s="2" t="s">
        <v>1</v>
      </c>
      <c r="C107" s="2" t="s">
        <v>157</v>
      </c>
      <c r="D107" s="2" t="s">
        <v>295</v>
      </c>
      <c r="E107" s="2" t="s">
        <v>313</v>
      </c>
    </row>
    <row r="108" spans="1:5" x14ac:dyDescent="0.25">
      <c r="A108" s="43" t="s">
        <v>350</v>
      </c>
      <c r="B108" s="2" t="s">
        <v>491</v>
      </c>
      <c r="C108" s="2" t="s">
        <v>486</v>
      </c>
      <c r="D108" s="2" t="s">
        <v>488</v>
      </c>
      <c r="E108" s="2" t="s">
        <v>490</v>
      </c>
    </row>
    <row r="109" spans="1:5" x14ac:dyDescent="0.25">
      <c r="A109" s="43" t="s">
        <v>350</v>
      </c>
      <c r="B109" s="2" t="s">
        <v>109</v>
      </c>
      <c r="C109" s="2" t="s">
        <v>394</v>
      </c>
      <c r="D109" s="2" t="s">
        <v>395</v>
      </c>
      <c r="E109" s="2" t="s">
        <v>396</v>
      </c>
    </row>
    <row r="110" spans="1:5" x14ac:dyDescent="0.25">
      <c r="A110" s="43" t="s">
        <v>350</v>
      </c>
      <c r="B110" s="2" t="s">
        <v>217</v>
      </c>
      <c r="C110" s="2" t="s">
        <v>391</v>
      </c>
      <c r="D110" s="2" t="s">
        <v>392</v>
      </c>
      <c r="E110" s="2" t="s">
        <v>393</v>
      </c>
    </row>
    <row r="111" spans="1:5" x14ac:dyDescent="0.25">
      <c r="A111" s="43" t="s">
        <v>350</v>
      </c>
      <c r="B111" s="23" t="s">
        <v>482</v>
      </c>
      <c r="C111" s="7" t="s">
        <v>483</v>
      </c>
      <c r="D111" s="2" t="s">
        <v>484</v>
      </c>
      <c r="E111" s="2" t="s">
        <v>485</v>
      </c>
    </row>
    <row r="112" spans="1:5" x14ac:dyDescent="0.25">
      <c r="A112" s="43" t="s">
        <v>350</v>
      </c>
      <c r="B112" s="2" t="s">
        <v>115</v>
      </c>
      <c r="C112" s="2" t="s">
        <v>339</v>
      </c>
      <c r="D112" s="2" t="s">
        <v>297</v>
      </c>
      <c r="E112" s="2" t="s">
        <v>311</v>
      </c>
    </row>
    <row r="113" spans="1:5" x14ac:dyDescent="0.25">
      <c r="A113" s="43" t="s">
        <v>350</v>
      </c>
      <c r="B113" s="2" t="s">
        <v>60</v>
      </c>
      <c r="C113" s="2" t="s">
        <v>334</v>
      </c>
      <c r="D113" s="2" t="s">
        <v>300</v>
      </c>
      <c r="E113" s="2" t="s">
        <v>307</v>
      </c>
    </row>
    <row r="114" spans="1:5" x14ac:dyDescent="0.25">
      <c r="A114" s="43" t="s">
        <v>350</v>
      </c>
      <c r="B114" s="2" t="s">
        <v>492</v>
      </c>
      <c r="C114" s="2" t="s">
        <v>493</v>
      </c>
      <c r="D114" s="2" t="s">
        <v>494</v>
      </c>
      <c r="E114" s="2" t="s">
        <v>495</v>
      </c>
    </row>
    <row r="115" spans="1:5" x14ac:dyDescent="0.25">
      <c r="A115" s="43" t="s">
        <v>350</v>
      </c>
      <c r="B115" s="2" t="s">
        <v>102</v>
      </c>
      <c r="C115" s="2" t="s">
        <v>335</v>
      </c>
      <c r="D115" s="2" t="s">
        <v>426</v>
      </c>
      <c r="E115" s="2" t="s">
        <v>318</v>
      </c>
    </row>
    <row r="116" spans="1:5" x14ac:dyDescent="0.25">
      <c r="A116" s="43" t="s">
        <v>350</v>
      </c>
      <c r="B116" s="2" t="s">
        <v>87</v>
      </c>
      <c r="C116" s="2" t="s">
        <v>414</v>
      </c>
      <c r="D116" s="2" t="s">
        <v>415</v>
      </c>
      <c r="E116" s="2" t="s">
        <v>416</v>
      </c>
    </row>
    <row r="117" spans="1:5" x14ac:dyDescent="0.25">
      <c r="A117" s="43" t="s">
        <v>350</v>
      </c>
      <c r="B117" s="2" t="s">
        <v>249</v>
      </c>
      <c r="C117" s="2" t="s">
        <v>446</v>
      </c>
      <c r="D117" s="2" t="s">
        <v>447</v>
      </c>
      <c r="E117" s="2" t="s">
        <v>448</v>
      </c>
    </row>
    <row r="118" spans="1:5" x14ac:dyDescent="0.25">
      <c r="A118" s="43" t="s">
        <v>350</v>
      </c>
      <c r="B118" s="2" t="s">
        <v>51</v>
      </c>
      <c r="C118" s="2" t="s">
        <v>405</v>
      </c>
      <c r="D118" s="2" t="s">
        <v>406</v>
      </c>
      <c r="E118" s="2" t="s">
        <v>407</v>
      </c>
    </row>
    <row r="119" spans="1:5" x14ac:dyDescent="0.25">
      <c r="A119" s="43" t="s">
        <v>350</v>
      </c>
      <c r="B119" s="2" t="s">
        <v>116</v>
      </c>
      <c r="C119" s="2" t="s">
        <v>440</v>
      </c>
      <c r="D119" s="2" t="s">
        <v>441</v>
      </c>
      <c r="E119" s="2" t="s">
        <v>442</v>
      </c>
    </row>
    <row r="120" spans="1:5" x14ac:dyDescent="0.25">
      <c r="A120" s="43" t="s">
        <v>350</v>
      </c>
      <c r="B120" s="2" t="s">
        <v>67</v>
      </c>
      <c r="C120" s="2" t="s">
        <v>162</v>
      </c>
      <c r="D120" s="2" t="s">
        <v>303</v>
      </c>
      <c r="E120" s="2" t="s">
        <v>312</v>
      </c>
    </row>
    <row r="121" spans="1:5" x14ac:dyDescent="0.25">
      <c r="A121" s="45" t="s">
        <v>351</v>
      </c>
      <c r="B121" s="7" t="s">
        <v>102</v>
      </c>
      <c r="C121" s="7" t="s">
        <v>335</v>
      </c>
      <c r="D121" s="2" t="s">
        <v>426</v>
      </c>
      <c r="E121" s="2" t="s">
        <v>318</v>
      </c>
    </row>
    <row r="122" spans="1:5" x14ac:dyDescent="0.25">
      <c r="A122" s="45" t="s">
        <v>351</v>
      </c>
      <c r="B122" s="3" t="s">
        <v>16</v>
      </c>
      <c r="C122" s="5" t="s">
        <v>160</v>
      </c>
      <c r="D122" s="2" t="s">
        <v>389</v>
      </c>
      <c r="E122" s="2" t="s">
        <v>390</v>
      </c>
    </row>
    <row r="123" spans="1:5" x14ac:dyDescent="0.25">
      <c r="A123" s="45" t="s">
        <v>351</v>
      </c>
      <c r="B123" s="3" t="s">
        <v>120</v>
      </c>
      <c r="C123" s="3" t="s">
        <v>449</v>
      </c>
      <c r="D123" s="2" t="s">
        <v>450</v>
      </c>
      <c r="E123" s="2" t="s">
        <v>451</v>
      </c>
    </row>
    <row r="124" spans="1:5" x14ac:dyDescent="0.25">
      <c r="A124" s="45" t="s">
        <v>351</v>
      </c>
      <c r="B124" s="5" t="s">
        <v>19</v>
      </c>
      <c r="C124" s="5" t="s">
        <v>400</v>
      </c>
      <c r="D124" s="2" t="s">
        <v>401</v>
      </c>
      <c r="E124" s="2" t="s">
        <v>402</v>
      </c>
    </row>
    <row r="125" spans="1:5" x14ac:dyDescent="0.25">
      <c r="A125" s="45" t="s">
        <v>351</v>
      </c>
      <c r="B125" s="3" t="s">
        <v>67</v>
      </c>
      <c r="C125" s="2" t="s">
        <v>162</v>
      </c>
      <c r="D125" s="6" t="s">
        <v>303</v>
      </c>
      <c r="E125" s="6" t="s">
        <v>312</v>
      </c>
    </row>
    <row r="126" spans="1:5" x14ac:dyDescent="0.25">
      <c r="A126" s="45" t="s">
        <v>352</v>
      </c>
      <c r="B126" s="22" t="s">
        <v>460</v>
      </c>
      <c r="C126" s="2" t="s">
        <v>170</v>
      </c>
      <c r="D126" s="2" t="s">
        <v>427</v>
      </c>
      <c r="E126" s="2" t="s">
        <v>428</v>
      </c>
    </row>
    <row r="127" spans="1:5" x14ac:dyDescent="0.25">
      <c r="A127" s="45" t="s">
        <v>352</v>
      </c>
      <c r="B127" s="22" t="s">
        <v>124</v>
      </c>
      <c r="C127" s="2" t="s">
        <v>167</v>
      </c>
      <c r="D127" s="8" t="s">
        <v>436</v>
      </c>
      <c r="E127" s="2" t="s">
        <v>437</v>
      </c>
    </row>
    <row r="128" spans="1:5" x14ac:dyDescent="0.25">
      <c r="A128" s="45" t="s">
        <v>352</v>
      </c>
      <c r="B128" s="37" t="s">
        <v>115</v>
      </c>
      <c r="C128" s="2" t="s">
        <v>339</v>
      </c>
      <c r="D128" s="7" t="s">
        <v>297</v>
      </c>
      <c r="E128" s="7" t="s">
        <v>311</v>
      </c>
    </row>
    <row r="129" spans="1:5" x14ac:dyDescent="0.25">
      <c r="A129" s="45" t="s">
        <v>352</v>
      </c>
      <c r="B129" s="24" t="s">
        <v>12</v>
      </c>
      <c r="C129" s="2" t="s">
        <v>159</v>
      </c>
      <c r="D129" s="6" t="s">
        <v>387</v>
      </c>
      <c r="E129" s="6" t="s">
        <v>388</v>
      </c>
    </row>
    <row r="130" spans="1:5" x14ac:dyDescent="0.25">
      <c r="A130" s="45" t="s">
        <v>352</v>
      </c>
      <c r="B130" s="34" t="s">
        <v>16</v>
      </c>
      <c r="C130" s="2" t="s">
        <v>160</v>
      </c>
      <c r="D130" s="2" t="s">
        <v>389</v>
      </c>
      <c r="E130" s="2" t="s">
        <v>390</v>
      </c>
    </row>
    <row r="131" spans="1:5" x14ac:dyDescent="0.25">
      <c r="A131" s="45" t="s">
        <v>352</v>
      </c>
      <c r="B131" s="22" t="s">
        <v>60</v>
      </c>
      <c r="C131" s="2" t="s">
        <v>334</v>
      </c>
      <c r="D131" s="2" t="s">
        <v>300</v>
      </c>
      <c r="E131" s="2" t="s">
        <v>307</v>
      </c>
    </row>
    <row r="132" spans="1:5" x14ac:dyDescent="0.25">
      <c r="A132" s="45" t="s">
        <v>352</v>
      </c>
      <c r="B132" s="34" t="s">
        <v>461</v>
      </c>
      <c r="C132" s="2" t="s">
        <v>171</v>
      </c>
      <c r="D132" s="2" t="s">
        <v>429</v>
      </c>
      <c r="E132" s="2" t="s">
        <v>430</v>
      </c>
    </row>
    <row r="133" spans="1:5" x14ac:dyDescent="0.25">
      <c r="A133" s="45" t="s">
        <v>352</v>
      </c>
      <c r="B133" s="24" t="s">
        <v>67</v>
      </c>
      <c r="C133" s="2" t="s">
        <v>162</v>
      </c>
      <c r="D133" s="6" t="s">
        <v>303</v>
      </c>
      <c r="E133" s="6" t="s">
        <v>312</v>
      </c>
    </row>
    <row r="134" spans="1:5" x14ac:dyDescent="0.25">
      <c r="A134" s="45" t="s">
        <v>352</v>
      </c>
      <c r="B134" s="23" t="s">
        <v>496</v>
      </c>
      <c r="C134" s="7" t="s">
        <v>497</v>
      </c>
      <c r="D134" s="2" t="s">
        <v>498</v>
      </c>
      <c r="E134" s="2" t="s">
        <v>499</v>
      </c>
    </row>
    <row r="135" spans="1:5" x14ac:dyDescent="0.25">
      <c r="A135" s="45" t="s">
        <v>352</v>
      </c>
      <c r="B135" s="22" t="s">
        <v>134</v>
      </c>
      <c r="C135" s="2" t="s">
        <v>169</v>
      </c>
      <c r="D135" s="2" t="s">
        <v>434</v>
      </c>
      <c r="E135" s="2" t="s">
        <v>435</v>
      </c>
    </row>
    <row r="136" spans="1:5" x14ac:dyDescent="0.25">
      <c r="A136" s="45" t="s">
        <v>352</v>
      </c>
      <c r="B136" s="22" t="s">
        <v>217</v>
      </c>
      <c r="C136" s="2" t="s">
        <v>391</v>
      </c>
      <c r="D136" s="2" t="s">
        <v>392</v>
      </c>
      <c r="E136" s="2" t="s">
        <v>393</v>
      </c>
    </row>
    <row r="137" spans="1:5" x14ac:dyDescent="0.25">
      <c r="A137" s="45" t="s">
        <v>352</v>
      </c>
      <c r="B137" s="35" t="s">
        <v>43</v>
      </c>
      <c r="C137" s="4" t="s">
        <v>166</v>
      </c>
      <c r="D137" s="6" t="s">
        <v>298</v>
      </c>
      <c r="E137" s="6" t="s">
        <v>310</v>
      </c>
    </row>
    <row r="138" spans="1:5" x14ac:dyDescent="0.25">
      <c r="A138" s="45" t="s">
        <v>352</v>
      </c>
      <c r="B138" s="2" t="s">
        <v>492</v>
      </c>
      <c r="C138" s="2" t="s">
        <v>493</v>
      </c>
      <c r="D138" s="2" t="s">
        <v>494</v>
      </c>
      <c r="E138" s="2" t="s">
        <v>495</v>
      </c>
    </row>
    <row r="139" spans="1:5" x14ac:dyDescent="0.25">
      <c r="A139" s="45" t="s">
        <v>352</v>
      </c>
      <c r="B139" s="22" t="s">
        <v>130</v>
      </c>
      <c r="C139" s="2" t="s">
        <v>168</v>
      </c>
      <c r="D139" s="2" t="s">
        <v>438</v>
      </c>
      <c r="E139" s="2" t="s">
        <v>439</v>
      </c>
    </row>
    <row r="140" spans="1:5" x14ac:dyDescent="0.25">
      <c r="A140" s="45" t="s">
        <v>352</v>
      </c>
      <c r="B140" s="23" t="s">
        <v>325</v>
      </c>
      <c r="C140" s="2" t="s">
        <v>405</v>
      </c>
      <c r="D140" s="3" t="s">
        <v>406</v>
      </c>
      <c r="E140" s="3" t="s">
        <v>407</v>
      </c>
    </row>
    <row r="141" spans="1:5" x14ac:dyDescent="0.25">
      <c r="A141" s="45" t="s">
        <v>352</v>
      </c>
      <c r="B141" s="20" t="s">
        <v>116</v>
      </c>
      <c r="C141" s="2" t="s">
        <v>440</v>
      </c>
      <c r="D141" s="2" t="s">
        <v>441</v>
      </c>
      <c r="E141" s="2" t="s">
        <v>442</v>
      </c>
    </row>
    <row r="142" spans="1:5" x14ac:dyDescent="0.25">
      <c r="A142" s="45" t="s">
        <v>374</v>
      </c>
      <c r="B142" s="39" t="s">
        <v>1</v>
      </c>
      <c r="C142" s="2" t="s">
        <v>157</v>
      </c>
      <c r="D142" s="2" t="s">
        <v>295</v>
      </c>
      <c r="E142" s="2" t="s">
        <v>313</v>
      </c>
    </row>
    <row r="143" spans="1:5" x14ac:dyDescent="0.25">
      <c r="A143" s="45" t="s">
        <v>374</v>
      </c>
      <c r="B143" s="2" t="s">
        <v>11</v>
      </c>
      <c r="C143" s="2" t="s">
        <v>330</v>
      </c>
      <c r="D143" s="8"/>
      <c r="E143" s="2" t="s">
        <v>314</v>
      </c>
    </row>
    <row r="144" spans="1:5" x14ac:dyDescent="0.25">
      <c r="A144" s="45" t="s">
        <v>374</v>
      </c>
      <c r="B144" s="6" t="s">
        <v>43</v>
      </c>
      <c r="C144" s="2" t="s">
        <v>166</v>
      </c>
      <c r="D144" s="7" t="s">
        <v>298</v>
      </c>
      <c r="E144" s="7" t="s">
        <v>310</v>
      </c>
    </row>
    <row r="145" spans="1:5" x14ac:dyDescent="0.25">
      <c r="A145" s="45" t="s">
        <v>374</v>
      </c>
      <c r="B145" s="3" t="s">
        <v>47</v>
      </c>
      <c r="C145" s="2" t="s">
        <v>331</v>
      </c>
      <c r="D145" s="6" t="s">
        <v>302</v>
      </c>
      <c r="E145" s="6" t="s">
        <v>315</v>
      </c>
    </row>
    <row r="146" spans="1:5" x14ac:dyDescent="0.25">
      <c r="A146" s="45" t="s">
        <v>374</v>
      </c>
      <c r="B146" s="5" t="s">
        <v>88</v>
      </c>
      <c r="C146" s="2" t="s">
        <v>332</v>
      </c>
      <c r="D146" s="2" t="s">
        <v>304</v>
      </c>
      <c r="E146" s="2" t="s">
        <v>305</v>
      </c>
    </row>
    <row r="147" spans="1:5" x14ac:dyDescent="0.25">
      <c r="A147" s="45" t="s">
        <v>374</v>
      </c>
      <c r="B147" s="2" t="s">
        <v>56</v>
      </c>
      <c r="C147" s="2" t="s">
        <v>333</v>
      </c>
      <c r="D147" s="2" t="s">
        <v>299</v>
      </c>
      <c r="E147" s="2" t="s">
        <v>306</v>
      </c>
    </row>
    <row r="148" spans="1:5" x14ac:dyDescent="0.25">
      <c r="A148" s="45" t="s">
        <v>374</v>
      </c>
      <c r="B148" s="5" t="s">
        <v>60</v>
      </c>
      <c r="C148" s="2" t="s">
        <v>334</v>
      </c>
      <c r="D148" s="2" t="s">
        <v>300</v>
      </c>
      <c r="E148" s="2" t="s">
        <v>307</v>
      </c>
    </row>
    <row r="149" spans="1:5" x14ac:dyDescent="0.25">
      <c r="A149" s="45" t="s">
        <v>374</v>
      </c>
      <c r="B149" s="39" t="s">
        <v>102</v>
      </c>
      <c r="C149" s="2" t="s">
        <v>335</v>
      </c>
      <c r="D149" s="8"/>
      <c r="E149" s="2" t="s">
        <v>318</v>
      </c>
    </row>
    <row r="150" spans="1:5" x14ac:dyDescent="0.25">
      <c r="A150" s="45" t="s">
        <v>374</v>
      </c>
      <c r="B150" s="3" t="s">
        <v>39</v>
      </c>
      <c r="C150" s="2" t="s">
        <v>336</v>
      </c>
      <c r="D150" s="6" t="s">
        <v>301</v>
      </c>
      <c r="E150" s="6" t="s">
        <v>309</v>
      </c>
    </row>
    <row r="151" spans="1:5" x14ac:dyDescent="0.25">
      <c r="A151" s="45" t="s">
        <v>374</v>
      </c>
      <c r="B151" s="2" t="s">
        <v>23</v>
      </c>
      <c r="C151" s="2" t="s">
        <v>337</v>
      </c>
      <c r="D151" s="2" t="s">
        <v>296</v>
      </c>
      <c r="E151" s="2" t="s">
        <v>308</v>
      </c>
    </row>
    <row r="152" spans="1:5" x14ac:dyDescent="0.25">
      <c r="A152" s="45" t="s">
        <v>374</v>
      </c>
      <c r="B152" s="40" t="s">
        <v>212</v>
      </c>
      <c r="C152" s="12" t="s">
        <v>338</v>
      </c>
      <c r="D152" s="38"/>
      <c r="E152" s="12" t="s">
        <v>324</v>
      </c>
    </row>
    <row r="153" spans="1:5" x14ac:dyDescent="0.25">
      <c r="A153" s="45" t="s">
        <v>374</v>
      </c>
      <c r="B153" s="39" t="s">
        <v>67</v>
      </c>
      <c r="C153" s="2" t="s">
        <v>162</v>
      </c>
      <c r="D153" s="2" t="s">
        <v>303</v>
      </c>
      <c r="E153" s="2" t="s">
        <v>312</v>
      </c>
    </row>
    <row r="154" spans="1:5" x14ac:dyDescent="0.25">
      <c r="A154" s="45" t="s">
        <v>374</v>
      </c>
      <c r="B154" s="39" t="s">
        <v>326</v>
      </c>
      <c r="C154" s="2" t="s">
        <v>339</v>
      </c>
      <c r="D154" s="2" t="s">
        <v>297</v>
      </c>
      <c r="E154" s="2" t="s">
        <v>311</v>
      </c>
    </row>
    <row r="155" spans="1:5" x14ac:dyDescent="0.25">
      <c r="A155" s="45" t="s">
        <v>374</v>
      </c>
      <c r="B155" s="39" t="s">
        <v>462</v>
      </c>
      <c r="C155" s="2" t="s">
        <v>340</v>
      </c>
      <c r="D155" s="2" t="s">
        <v>316</v>
      </c>
      <c r="E155" s="2" t="s">
        <v>317</v>
      </c>
    </row>
    <row r="156" spans="1:5" x14ac:dyDescent="0.25">
      <c r="A156" s="45" t="s">
        <v>353</v>
      </c>
      <c r="B156" s="5" t="s">
        <v>461</v>
      </c>
      <c r="C156" s="2" t="s">
        <v>171</v>
      </c>
      <c r="D156" s="2" t="s">
        <v>429</v>
      </c>
      <c r="E156" s="2" t="s">
        <v>430</v>
      </c>
    </row>
    <row r="157" spans="1:5" x14ac:dyDescent="0.25">
      <c r="A157" s="45" t="s">
        <v>353</v>
      </c>
      <c r="B157" s="2" t="s">
        <v>460</v>
      </c>
      <c r="C157" s="2" t="s">
        <v>170</v>
      </c>
      <c r="D157" s="2" t="s">
        <v>427</v>
      </c>
      <c r="E157" s="2" t="s">
        <v>428</v>
      </c>
    </row>
    <row r="158" spans="1:5" x14ac:dyDescent="0.25">
      <c r="A158" s="45" t="s">
        <v>353</v>
      </c>
      <c r="B158" s="2" t="s">
        <v>503</v>
      </c>
      <c r="C158" s="2" t="s">
        <v>500</v>
      </c>
      <c r="D158" s="8" t="s">
        <v>501</v>
      </c>
      <c r="E158" s="2" t="s">
        <v>502</v>
      </c>
    </row>
    <row r="159" spans="1:5" x14ac:dyDescent="0.25">
      <c r="A159" s="45" t="s">
        <v>353</v>
      </c>
      <c r="B159" s="3" t="s">
        <v>67</v>
      </c>
      <c r="C159" s="2" t="s">
        <v>162</v>
      </c>
      <c r="D159" s="6" t="s">
        <v>303</v>
      </c>
      <c r="E159" s="6" t="s">
        <v>312</v>
      </c>
    </row>
    <row r="160" spans="1:5" x14ac:dyDescent="0.25">
      <c r="A160" s="45" t="s">
        <v>353</v>
      </c>
      <c r="B160" s="3" t="s">
        <v>12</v>
      </c>
      <c r="C160" s="4" t="s">
        <v>159</v>
      </c>
      <c r="D160" s="2" t="s">
        <v>387</v>
      </c>
      <c r="E160" s="2" t="s">
        <v>388</v>
      </c>
    </row>
    <row r="161" spans="1:5" x14ac:dyDescent="0.25">
      <c r="A161" s="45" t="s">
        <v>353</v>
      </c>
      <c r="B161" s="5" t="s">
        <v>16</v>
      </c>
      <c r="C161" s="3" t="s">
        <v>160</v>
      </c>
      <c r="D161" s="2" t="s">
        <v>389</v>
      </c>
      <c r="E161" s="2" t="s">
        <v>390</v>
      </c>
    </row>
    <row r="162" spans="1:5" x14ac:dyDescent="0.25">
      <c r="A162" s="45" t="s">
        <v>353</v>
      </c>
      <c r="B162" s="2" t="s">
        <v>134</v>
      </c>
      <c r="C162" s="2" t="s">
        <v>169</v>
      </c>
      <c r="D162" s="2" t="s">
        <v>434</v>
      </c>
      <c r="E162" s="2" t="s">
        <v>435</v>
      </c>
    </row>
    <row r="163" spans="1:5" x14ac:dyDescent="0.25">
      <c r="A163" s="45" t="s">
        <v>353</v>
      </c>
      <c r="B163" s="4" t="s">
        <v>43</v>
      </c>
      <c r="C163" s="2" t="s">
        <v>166</v>
      </c>
      <c r="D163" s="6" t="s">
        <v>298</v>
      </c>
      <c r="E163" s="6" t="s">
        <v>310</v>
      </c>
    </row>
    <row r="164" spans="1:5" x14ac:dyDescent="0.25">
      <c r="A164" s="45" t="s">
        <v>353</v>
      </c>
      <c r="B164" s="3" t="s">
        <v>237</v>
      </c>
      <c r="C164" s="2" t="s">
        <v>452</v>
      </c>
      <c r="D164" s="6" t="s">
        <v>453</v>
      </c>
      <c r="E164" s="10" t="s">
        <v>454</v>
      </c>
    </row>
    <row r="165" spans="1:5" x14ac:dyDescent="0.25">
      <c r="A165" s="45" t="s">
        <v>353</v>
      </c>
      <c r="B165" s="2" t="s">
        <v>463</v>
      </c>
      <c r="C165" s="2" t="s">
        <v>455</v>
      </c>
      <c r="D165" s="2" t="s">
        <v>456</v>
      </c>
      <c r="E165" s="2" t="s">
        <v>457</v>
      </c>
    </row>
    <row r="166" spans="1:5" x14ac:dyDescent="0.25">
      <c r="A166" s="45" t="s">
        <v>353</v>
      </c>
      <c r="B166" s="2" t="s">
        <v>27</v>
      </c>
      <c r="C166" s="2" t="s">
        <v>161</v>
      </c>
      <c r="D166" s="2" t="s">
        <v>403</v>
      </c>
      <c r="E166" s="2" t="s">
        <v>404</v>
      </c>
    </row>
    <row r="167" spans="1:5" x14ac:dyDescent="0.25">
      <c r="A167" s="45" t="s">
        <v>354</v>
      </c>
      <c r="B167" s="2" t="s">
        <v>1</v>
      </c>
      <c r="C167" s="2" t="s">
        <v>157</v>
      </c>
      <c r="D167" s="2" t="s">
        <v>295</v>
      </c>
      <c r="E167" s="2" t="s">
        <v>313</v>
      </c>
    </row>
    <row r="168" spans="1:5" x14ac:dyDescent="0.25">
      <c r="A168" s="45" t="s">
        <v>354</v>
      </c>
      <c r="B168" s="2" t="s">
        <v>124</v>
      </c>
      <c r="C168" s="2" t="s">
        <v>167</v>
      </c>
      <c r="D168" s="8" t="s">
        <v>436</v>
      </c>
      <c r="E168" s="2" t="s">
        <v>437</v>
      </c>
    </row>
    <row r="169" spans="1:5" x14ac:dyDescent="0.25">
      <c r="A169" s="45" t="s">
        <v>354</v>
      </c>
      <c r="B169" s="3" t="s">
        <v>12</v>
      </c>
      <c r="C169" s="4" t="s">
        <v>159</v>
      </c>
      <c r="D169" s="2" t="s">
        <v>387</v>
      </c>
      <c r="E169" s="2" t="s">
        <v>388</v>
      </c>
    </row>
    <row r="170" spans="1:5" x14ac:dyDescent="0.25">
      <c r="A170" s="45" t="s">
        <v>354</v>
      </c>
      <c r="B170" s="5" t="s">
        <v>16</v>
      </c>
      <c r="C170" s="3" t="s">
        <v>160</v>
      </c>
      <c r="D170" s="2" t="s">
        <v>389</v>
      </c>
      <c r="E170" s="2" t="s">
        <v>390</v>
      </c>
    </row>
    <row r="171" spans="1:5" x14ac:dyDescent="0.25">
      <c r="A171" s="45" t="s">
        <v>354</v>
      </c>
      <c r="B171" s="2" t="s">
        <v>134</v>
      </c>
      <c r="C171" s="2" t="s">
        <v>169</v>
      </c>
      <c r="D171" s="2" t="s">
        <v>434</v>
      </c>
      <c r="E171" s="2" t="s">
        <v>435</v>
      </c>
    </row>
    <row r="172" spans="1:5" x14ac:dyDescent="0.25">
      <c r="A172" s="45" t="s">
        <v>354</v>
      </c>
      <c r="B172" s="4" t="s">
        <v>43</v>
      </c>
      <c r="C172" s="2" t="s">
        <v>166</v>
      </c>
      <c r="D172" s="6" t="s">
        <v>298</v>
      </c>
      <c r="E172" s="6" t="s">
        <v>310</v>
      </c>
    </row>
    <row r="173" spans="1:5" x14ac:dyDescent="0.25">
      <c r="A173" s="45" t="s">
        <v>354</v>
      </c>
      <c r="B173" s="5" t="s">
        <v>461</v>
      </c>
      <c r="C173" s="2" t="s">
        <v>171</v>
      </c>
      <c r="D173" s="2" t="s">
        <v>429</v>
      </c>
      <c r="E173" s="2" t="s">
        <v>430</v>
      </c>
    </row>
    <row r="174" spans="1:5" x14ac:dyDescent="0.25">
      <c r="A174" s="45" t="s">
        <v>354</v>
      </c>
      <c r="B174" s="2" t="s">
        <v>460</v>
      </c>
      <c r="C174" s="2" t="s">
        <v>170</v>
      </c>
      <c r="D174" s="2" t="s">
        <v>427</v>
      </c>
      <c r="E174" s="2" t="s">
        <v>428</v>
      </c>
    </row>
    <row r="175" spans="1:5" x14ac:dyDescent="0.25">
      <c r="A175" s="45" t="s">
        <v>354</v>
      </c>
      <c r="B175" s="2" t="s">
        <v>27</v>
      </c>
      <c r="C175" s="2" t="s">
        <v>161</v>
      </c>
      <c r="D175" s="2" t="s">
        <v>403</v>
      </c>
      <c r="E175" s="2" t="s">
        <v>404</v>
      </c>
    </row>
    <row r="176" spans="1:5" x14ac:dyDescent="0.25">
      <c r="A176" s="45" t="s">
        <v>355</v>
      </c>
      <c r="B176" s="2" t="s">
        <v>124</v>
      </c>
      <c r="C176" s="2" t="s">
        <v>167</v>
      </c>
      <c r="D176" s="8" t="s">
        <v>436</v>
      </c>
      <c r="E176" s="2" t="s">
        <v>437</v>
      </c>
    </row>
    <row r="177" spans="1:6" x14ac:dyDescent="0.25">
      <c r="A177" s="45" t="s">
        <v>355</v>
      </c>
      <c r="B177" s="2" t="s">
        <v>504</v>
      </c>
      <c r="C177" s="2" t="s">
        <v>505</v>
      </c>
      <c r="D177" s="2" t="s">
        <v>487</v>
      </c>
      <c r="E177" s="2" t="s">
        <v>489</v>
      </c>
    </row>
    <row r="178" spans="1:6" x14ac:dyDescent="0.25">
      <c r="A178" s="45" t="s">
        <v>355</v>
      </c>
      <c r="B178" s="2" t="s">
        <v>60</v>
      </c>
      <c r="C178" s="2" t="s">
        <v>334</v>
      </c>
      <c r="D178" s="2" t="s">
        <v>300</v>
      </c>
      <c r="E178" s="2" t="s">
        <v>307</v>
      </c>
    </row>
    <row r="179" spans="1:6" x14ac:dyDescent="0.25">
      <c r="A179" s="45" t="s">
        <v>355</v>
      </c>
      <c r="B179" s="3" t="s">
        <v>102</v>
      </c>
      <c r="C179" s="3" t="s">
        <v>335</v>
      </c>
      <c r="D179" s="2" t="s">
        <v>426</v>
      </c>
      <c r="E179" s="2" t="s">
        <v>318</v>
      </c>
    </row>
    <row r="180" spans="1:6" x14ac:dyDescent="0.25">
      <c r="A180" s="45" t="s">
        <v>355</v>
      </c>
      <c r="B180" s="7" t="s">
        <v>19</v>
      </c>
      <c r="C180" s="7" t="s">
        <v>400</v>
      </c>
      <c r="D180" s="2" t="s">
        <v>401</v>
      </c>
      <c r="E180" s="2" t="s">
        <v>402</v>
      </c>
    </row>
    <row r="181" spans="1:6" x14ac:dyDescent="0.25">
      <c r="A181" s="45" t="s">
        <v>355</v>
      </c>
      <c r="B181" s="2" t="s">
        <v>27</v>
      </c>
      <c r="C181" s="2" t="s">
        <v>161</v>
      </c>
      <c r="D181" s="2" t="s">
        <v>403</v>
      </c>
      <c r="E181" s="2" t="s">
        <v>404</v>
      </c>
    </row>
    <row r="182" spans="1:6" x14ac:dyDescent="0.25">
      <c r="A182" s="45" t="s">
        <v>355</v>
      </c>
      <c r="B182" s="7" t="s">
        <v>115</v>
      </c>
      <c r="C182" s="2" t="s">
        <v>339</v>
      </c>
      <c r="D182" s="7" t="s">
        <v>297</v>
      </c>
      <c r="E182" s="7" t="s">
        <v>311</v>
      </c>
    </row>
    <row r="183" spans="1:6" x14ac:dyDescent="0.25">
      <c r="A183" s="45" t="s">
        <v>355</v>
      </c>
      <c r="B183" s="2" t="s">
        <v>116</v>
      </c>
      <c r="C183" s="2" t="s">
        <v>440</v>
      </c>
      <c r="D183" s="2" t="s">
        <v>441</v>
      </c>
      <c r="E183" s="2" t="s">
        <v>442</v>
      </c>
    </row>
    <row r="184" spans="1:6" s="54" customFormat="1" ht="90" x14ac:dyDescent="0.25">
      <c r="A184" s="50" t="s">
        <v>357</v>
      </c>
      <c r="B184" s="51" t="s">
        <v>469</v>
      </c>
      <c r="C184" s="52" t="s">
        <v>468</v>
      </c>
      <c r="D184" s="52" t="s">
        <v>467</v>
      </c>
      <c r="E184" s="52" t="s">
        <v>470</v>
      </c>
      <c r="F184" s="53"/>
    </row>
    <row r="185" spans="1:6" s="54" customFormat="1" ht="90" x14ac:dyDescent="0.25">
      <c r="A185" s="50" t="s">
        <v>356</v>
      </c>
      <c r="B185" s="51" t="s">
        <v>469</v>
      </c>
      <c r="C185" s="52" t="s">
        <v>468</v>
      </c>
      <c r="D185" s="52" t="s">
        <v>467</v>
      </c>
      <c r="E185" s="52" t="s">
        <v>470</v>
      </c>
      <c r="F185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932C-2F23-4CAE-81FC-84A3ED0C27BE}">
  <dimension ref="A1:C18"/>
  <sheetViews>
    <sheetView zoomScale="85" zoomScaleNormal="85" workbookViewId="0">
      <selection activeCell="A17" sqref="A17"/>
    </sheetView>
  </sheetViews>
  <sheetFormatPr defaultRowHeight="15" x14ac:dyDescent="0.25"/>
  <cols>
    <col min="1" max="1" width="68.85546875" style="44" customWidth="1"/>
    <col min="2" max="2" width="76.28515625" style="44" customWidth="1"/>
    <col min="3" max="3" width="68.85546875" style="44" customWidth="1"/>
    <col min="4" max="16384" width="9.140625" style="44"/>
  </cols>
  <sheetData>
    <row r="1" spans="1:3" x14ac:dyDescent="0.25">
      <c r="A1" s="43" t="s">
        <v>359</v>
      </c>
      <c r="B1" s="43" t="s">
        <v>380</v>
      </c>
      <c r="C1" s="43" t="s">
        <v>358</v>
      </c>
    </row>
    <row r="2" spans="1:3" ht="135" x14ac:dyDescent="0.25">
      <c r="A2" s="41" t="s">
        <v>341</v>
      </c>
      <c r="B2" s="43" t="s">
        <v>379</v>
      </c>
      <c r="C2" s="43" t="s">
        <v>363</v>
      </c>
    </row>
    <row r="3" spans="1:3" ht="60" x14ac:dyDescent="0.25">
      <c r="A3" s="41" t="s">
        <v>343</v>
      </c>
      <c r="B3" s="43" t="s">
        <v>381</v>
      </c>
      <c r="C3" s="43" t="s">
        <v>382</v>
      </c>
    </row>
    <row r="4" spans="1:3" ht="75" x14ac:dyDescent="0.25">
      <c r="A4" s="41" t="s">
        <v>346</v>
      </c>
      <c r="B4" s="43" t="s">
        <v>383</v>
      </c>
      <c r="C4" s="43" t="s">
        <v>364</v>
      </c>
    </row>
    <row r="5" spans="1:3" ht="75" x14ac:dyDescent="0.25">
      <c r="A5" s="41" t="s">
        <v>344</v>
      </c>
      <c r="B5" s="43" t="s">
        <v>384</v>
      </c>
      <c r="C5" s="43" t="s">
        <v>365</v>
      </c>
    </row>
    <row r="6" spans="1:3" x14ac:dyDescent="0.25">
      <c r="A6" s="41" t="s">
        <v>345</v>
      </c>
      <c r="B6" s="43"/>
      <c r="C6" s="43" t="s">
        <v>366</v>
      </c>
    </row>
    <row r="7" spans="1:3" ht="75" x14ac:dyDescent="0.25">
      <c r="A7" s="41" t="s">
        <v>347</v>
      </c>
      <c r="B7" s="43"/>
      <c r="C7" s="43" t="s">
        <v>367</v>
      </c>
    </row>
    <row r="8" spans="1:3" ht="75" x14ac:dyDescent="0.25">
      <c r="A8" s="41" t="s">
        <v>348</v>
      </c>
      <c r="B8" s="43"/>
      <c r="C8" s="43" t="s">
        <v>368</v>
      </c>
    </row>
    <row r="9" spans="1:3" ht="45" x14ac:dyDescent="0.25">
      <c r="A9" s="41" t="s">
        <v>349</v>
      </c>
      <c r="B9" s="43"/>
      <c r="C9" s="43" t="s">
        <v>369</v>
      </c>
    </row>
    <row r="10" spans="1:3" ht="90" x14ac:dyDescent="0.25">
      <c r="A10" s="41" t="s">
        <v>350</v>
      </c>
      <c r="B10" s="43"/>
      <c r="C10" s="43" t="s">
        <v>370</v>
      </c>
    </row>
    <row r="11" spans="1:3" ht="30" x14ac:dyDescent="0.25">
      <c r="A11" s="41" t="s">
        <v>351</v>
      </c>
      <c r="B11" s="43"/>
      <c r="C11" s="43" t="s">
        <v>371</v>
      </c>
    </row>
    <row r="12" spans="1:3" ht="90" x14ac:dyDescent="0.25">
      <c r="A12" s="41" t="s">
        <v>352</v>
      </c>
      <c r="B12" s="43"/>
      <c r="C12" s="43" t="s">
        <v>372</v>
      </c>
    </row>
    <row r="13" spans="1:3" ht="60" x14ac:dyDescent="0.25">
      <c r="A13" s="41" t="s">
        <v>353</v>
      </c>
      <c r="B13" s="43"/>
      <c r="C13" s="43" t="s">
        <v>375</v>
      </c>
    </row>
    <row r="14" spans="1:3" ht="45" x14ac:dyDescent="0.25">
      <c r="A14" s="41" t="s">
        <v>354</v>
      </c>
      <c r="B14" s="43"/>
      <c r="C14" s="43" t="s">
        <v>376</v>
      </c>
    </row>
    <row r="15" spans="1:3" ht="45" x14ac:dyDescent="0.25">
      <c r="A15" s="41" t="s">
        <v>355</v>
      </c>
      <c r="B15" s="43"/>
      <c r="C15" s="43" t="s">
        <v>377</v>
      </c>
    </row>
    <row r="16" spans="1:3" ht="75" x14ac:dyDescent="0.25">
      <c r="A16" s="41" t="s">
        <v>357</v>
      </c>
      <c r="B16" s="43"/>
      <c r="C16" s="43" t="s">
        <v>378</v>
      </c>
    </row>
    <row r="17" spans="1:3" ht="75" x14ac:dyDescent="0.25">
      <c r="A17" s="41" t="s">
        <v>356</v>
      </c>
      <c r="B17" s="43"/>
      <c r="C17" s="43" t="s">
        <v>378</v>
      </c>
    </row>
    <row r="18" spans="1:3" ht="60" x14ac:dyDescent="0.25">
      <c r="A18" s="41" t="s">
        <v>374</v>
      </c>
      <c r="B18" s="43"/>
      <c r="C18" s="43" t="s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workbookViewId="0">
      <selection activeCell="C1" activeCellId="1" sqref="A1:A30 C1:E30"/>
    </sheetView>
  </sheetViews>
  <sheetFormatPr defaultRowHeight="15" x14ac:dyDescent="0.25"/>
  <cols>
    <col min="1" max="1" width="35.7109375" customWidth="1"/>
    <col min="3" max="3" width="14" bestFit="1" customWidth="1"/>
    <col min="4" max="4" width="19.140625" bestFit="1" customWidth="1"/>
    <col min="5" max="5" width="18.5703125" bestFit="1" customWidth="1"/>
    <col min="6" max="6" width="20.140625" bestFit="1" customWidth="1"/>
    <col min="7" max="7" width="9.28515625" bestFit="1" customWidth="1"/>
    <col min="8" max="8" width="11.28515625" customWidth="1"/>
    <col min="9" max="9" width="10" bestFit="1" customWidth="1"/>
    <col min="10" max="10" width="255.7109375" bestFit="1" customWidth="1"/>
  </cols>
  <sheetData>
    <row r="1" spans="1:11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1" x14ac:dyDescent="0.25">
      <c r="A2" s="2" t="s">
        <v>1</v>
      </c>
      <c r="B2" s="2">
        <v>1</v>
      </c>
      <c r="C2" s="2" t="s">
        <v>158</v>
      </c>
      <c r="D2" s="2" t="s">
        <v>2</v>
      </c>
      <c r="E2" s="2" t="s">
        <v>3</v>
      </c>
      <c r="F2" s="2" t="s">
        <v>4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",TRUE,UPPER(D2:E30))</f>
        <v>AMP_ND10, AMP_NM, CZO_ND30, CZO_NM, CTX_ND30, CTX_NM, CRO_ND30, CRO_NM, AMC_ND20, AMC_NM, SAM_ND10, SAM_NM, TZP_ND100, TZP_NM, GEN_ND10, GEN_NM, CIP_ND5, CIP_NM, LVX_ND5, LVX_NM, SXT_ND1_2, SXT_NM, CXA_ND30, CXA_NM, FEP_ND30, FEP_NM, ETP_ND10, ETP_NM, IPM_ND10, IPM_NM, MEM_ND10, MEM_NM, TOB_ND10, TOB_NM, AMK_ND30, AMK_NM, FOX_ND30, FOX_NM, TCY_ND30, TCY_NM, CZA_ND30, CZA_NM, IMR_ND10, IMR_NM, MEV_ND20, MEV_NM, ATM_ND30, ATM_NM, CAZ_ND30, CAZ_NM, CZT_ND30, CZT_NM, CZO_ND30, CZO_NM, NIT_ND300, NIT_NM, COL_ND10, COL_NM</v>
      </c>
    </row>
    <row r="3" spans="1:11" x14ac:dyDescent="0.25">
      <c r="A3" s="3" t="s">
        <v>11</v>
      </c>
      <c r="B3" s="2">
        <v>1</v>
      </c>
      <c r="C3" s="2" t="s">
        <v>198</v>
      </c>
      <c r="D3" s="6" t="s">
        <v>10</v>
      </c>
      <c r="E3" s="6" t="s">
        <v>8</v>
      </c>
      <c r="F3" s="8" t="s">
        <v>9</v>
      </c>
      <c r="G3" s="2" t="s">
        <v>213</v>
      </c>
      <c r="H3" s="2" t="s">
        <v>213</v>
      </c>
      <c r="I3" s="12" t="s">
        <v>283</v>
      </c>
      <c r="J3" t="s">
        <v>363</v>
      </c>
      <c r="K3" s="13"/>
    </row>
    <row r="4" spans="1:11" x14ac:dyDescent="0.25">
      <c r="A4" s="14" t="s">
        <v>262</v>
      </c>
      <c r="B4" s="2">
        <v>1</v>
      </c>
      <c r="C4" s="2" t="s">
        <v>172</v>
      </c>
      <c r="D4" s="2" t="s">
        <v>13</v>
      </c>
      <c r="E4" s="2" t="s">
        <v>14</v>
      </c>
      <c r="F4" s="2" t="s">
        <v>15</v>
      </c>
      <c r="G4" s="2" t="s">
        <v>213</v>
      </c>
      <c r="H4" s="2" t="s">
        <v>246</v>
      </c>
      <c r="I4" s="12" t="s">
        <v>283</v>
      </c>
    </row>
    <row r="5" spans="1:11" x14ac:dyDescent="0.25">
      <c r="A5" s="3" t="s">
        <v>16</v>
      </c>
      <c r="B5" s="2">
        <v>1</v>
      </c>
      <c r="C5" s="2" t="s">
        <v>173</v>
      </c>
      <c r="D5" s="6" t="s">
        <v>114</v>
      </c>
      <c r="E5" s="2" t="s">
        <v>17</v>
      </c>
      <c r="F5" s="2" t="s">
        <v>18</v>
      </c>
      <c r="G5" s="2" t="s">
        <v>213</v>
      </c>
      <c r="H5" s="2" t="s">
        <v>246</v>
      </c>
      <c r="I5" s="12" t="s">
        <v>283</v>
      </c>
      <c r="J5" t="str">
        <f>_xlfn.TEXTJOIN(", ",TRUE,A2:A30)</f>
        <v>Ampicillin, Cefazolin, Cefotaxime , Ceftriaxone, Amoxicillin-clavulanic Acid, Ampicillin-sulbactam, Piperacillin-tazobactam, Gentamicin, Ciprofloxacin, Levofloxacin, Trimethoprim-sulfamethoxazole, Cefuroxime /Axetil , Cefepime, Ertapenem, Imipenem, Meropenem, Tobramycin, Amikacin, Cefoxitin, Tetracycline, Ceftazidime-avibactam, Imipenem-relebactam, Meropenem-vaborbactam, Aztreonam, Ceftazidime, Ceftolozane-tazobactam, Cefazolin, Nitrofurantoin, Colistin</v>
      </c>
    </row>
    <row r="6" spans="1:11" x14ac:dyDescent="0.25">
      <c r="A6" s="2" t="s">
        <v>259</v>
      </c>
      <c r="B6" s="2">
        <v>1</v>
      </c>
      <c r="C6" s="2" t="s">
        <v>191</v>
      </c>
      <c r="D6" s="2" t="s">
        <v>5</v>
      </c>
      <c r="E6" s="2" t="s">
        <v>6</v>
      </c>
      <c r="F6" s="2" t="s">
        <v>7</v>
      </c>
      <c r="G6" s="2" t="s">
        <v>213</v>
      </c>
      <c r="H6" s="2" t="s">
        <v>213</v>
      </c>
      <c r="I6" s="12" t="s">
        <v>283</v>
      </c>
      <c r="J6" t="s">
        <v>379</v>
      </c>
    </row>
    <row r="7" spans="1:11" x14ac:dyDescent="0.25">
      <c r="A7" s="2" t="s">
        <v>109</v>
      </c>
      <c r="B7" s="2">
        <v>1</v>
      </c>
      <c r="C7" s="2" t="s">
        <v>183</v>
      </c>
      <c r="D7" s="2" t="s">
        <v>106</v>
      </c>
      <c r="E7" s="2" t="s">
        <v>107</v>
      </c>
      <c r="F7" s="2" t="s">
        <v>108</v>
      </c>
      <c r="G7" s="2" t="s">
        <v>213</v>
      </c>
      <c r="H7" s="2" t="s">
        <v>213</v>
      </c>
      <c r="I7" s="12" t="s">
        <v>283</v>
      </c>
    </row>
    <row r="8" spans="1:11" x14ac:dyDescent="0.25">
      <c r="A8" s="2" t="s">
        <v>34</v>
      </c>
      <c r="B8" s="2">
        <v>1</v>
      </c>
      <c r="C8" s="2" t="s">
        <v>192</v>
      </c>
      <c r="D8" s="2" t="s">
        <v>31</v>
      </c>
      <c r="E8" s="8" t="s">
        <v>32</v>
      </c>
      <c r="F8" s="2" t="s">
        <v>33</v>
      </c>
      <c r="G8" s="2" t="s">
        <v>213</v>
      </c>
      <c r="H8" s="2" t="s">
        <v>213</v>
      </c>
      <c r="I8" s="12" t="s">
        <v>283</v>
      </c>
    </row>
    <row r="9" spans="1:11" x14ac:dyDescent="0.25">
      <c r="A9" s="5" t="s">
        <v>23</v>
      </c>
      <c r="B9" s="2">
        <v>1</v>
      </c>
      <c r="C9" s="2" t="s">
        <v>186</v>
      </c>
      <c r="D9" s="6" t="s">
        <v>24</v>
      </c>
      <c r="E9" s="6" t="s">
        <v>25</v>
      </c>
      <c r="F9" s="6" t="s">
        <v>26</v>
      </c>
      <c r="G9" s="2" t="s">
        <v>213</v>
      </c>
      <c r="H9" s="2" t="s">
        <v>213</v>
      </c>
      <c r="I9" s="12" t="s">
        <v>283</v>
      </c>
    </row>
    <row r="10" spans="1:11" x14ac:dyDescent="0.25">
      <c r="A10" s="2" t="s">
        <v>19</v>
      </c>
      <c r="B10" s="2">
        <v>1</v>
      </c>
      <c r="C10" s="2" t="s">
        <v>174</v>
      </c>
      <c r="D10" s="2" t="s">
        <v>20</v>
      </c>
      <c r="E10" s="2" t="s">
        <v>21</v>
      </c>
      <c r="F10" s="2" t="s">
        <v>22</v>
      </c>
      <c r="G10" s="2" t="s">
        <v>213</v>
      </c>
      <c r="H10" s="2" t="s">
        <v>213</v>
      </c>
      <c r="I10" s="12" t="s">
        <v>283</v>
      </c>
    </row>
    <row r="11" spans="1:11" x14ac:dyDescent="0.25">
      <c r="A11" s="2" t="s">
        <v>27</v>
      </c>
      <c r="B11" s="2">
        <v>1</v>
      </c>
      <c r="C11" s="2" t="s">
        <v>175</v>
      </c>
      <c r="D11" s="2" t="s">
        <v>28</v>
      </c>
      <c r="E11" s="2" t="s">
        <v>29</v>
      </c>
      <c r="F11" s="2" t="s">
        <v>30</v>
      </c>
      <c r="G11" s="2" t="s">
        <v>213</v>
      </c>
      <c r="H11" s="2" t="s">
        <v>213</v>
      </c>
      <c r="I11" s="12" t="s">
        <v>283</v>
      </c>
    </row>
    <row r="12" spans="1:11" x14ac:dyDescent="0.25">
      <c r="A12" s="7" t="s">
        <v>115</v>
      </c>
      <c r="B12" s="2">
        <v>1</v>
      </c>
      <c r="C12" s="2" t="s">
        <v>176</v>
      </c>
      <c r="D12" s="7" t="s">
        <v>36</v>
      </c>
      <c r="E12" s="7" t="s">
        <v>37</v>
      </c>
      <c r="F12" s="7" t="s">
        <v>38</v>
      </c>
      <c r="G12" s="2" t="s">
        <v>213</v>
      </c>
      <c r="H12" s="2" t="s">
        <v>213</v>
      </c>
      <c r="I12" s="12" t="s">
        <v>283</v>
      </c>
    </row>
    <row r="13" spans="1:11" x14ac:dyDescent="0.25">
      <c r="A13" s="7" t="s">
        <v>342</v>
      </c>
      <c r="B13" s="2">
        <v>2</v>
      </c>
      <c r="C13" s="2" t="s">
        <v>226</v>
      </c>
      <c r="D13" s="3" t="s">
        <v>223</v>
      </c>
      <c r="E13" s="3" t="s">
        <v>224</v>
      </c>
      <c r="F13" s="9" t="s">
        <v>225</v>
      </c>
      <c r="G13" s="2" t="s">
        <v>213</v>
      </c>
      <c r="H13" s="2" t="s">
        <v>213</v>
      </c>
      <c r="I13" s="12" t="s">
        <v>283</v>
      </c>
    </row>
    <row r="14" spans="1:11" x14ac:dyDescent="0.25">
      <c r="A14" s="4" t="s">
        <v>43</v>
      </c>
      <c r="B14" s="2">
        <v>2</v>
      </c>
      <c r="C14" s="2" t="s">
        <v>184</v>
      </c>
      <c r="D14" s="6" t="s">
        <v>44</v>
      </c>
      <c r="E14" s="6" t="s">
        <v>45</v>
      </c>
      <c r="F14" s="6" t="s">
        <v>46</v>
      </c>
      <c r="G14" s="2" t="s">
        <v>213</v>
      </c>
      <c r="H14" s="2" t="s">
        <v>213</v>
      </c>
      <c r="I14" s="12" t="s">
        <v>283</v>
      </c>
    </row>
    <row r="15" spans="1:11" x14ac:dyDescent="0.25">
      <c r="A15" s="2" t="s">
        <v>52</v>
      </c>
      <c r="B15" s="2">
        <v>2</v>
      </c>
      <c r="C15" s="2" t="s">
        <v>180</v>
      </c>
      <c r="D15" s="2" t="s">
        <v>53</v>
      </c>
      <c r="E15" s="2" t="s">
        <v>54</v>
      </c>
      <c r="F15" s="2" t="s">
        <v>55</v>
      </c>
      <c r="G15" s="2" t="s">
        <v>213</v>
      </c>
      <c r="H15" s="2" t="s">
        <v>213</v>
      </c>
      <c r="I15" s="12" t="s">
        <v>283</v>
      </c>
    </row>
    <row r="16" spans="1:11" x14ac:dyDescent="0.25">
      <c r="A16" s="5" t="s">
        <v>56</v>
      </c>
      <c r="B16" s="2">
        <v>2</v>
      </c>
      <c r="C16" s="2" t="s">
        <v>178</v>
      </c>
      <c r="D16" s="6" t="s">
        <v>57</v>
      </c>
      <c r="E16" s="6" t="s">
        <v>58</v>
      </c>
      <c r="F16" s="6" t="s">
        <v>59</v>
      </c>
      <c r="G16" s="2" t="s">
        <v>213</v>
      </c>
      <c r="H16" s="2" t="s">
        <v>213</v>
      </c>
      <c r="I16" s="12" t="s">
        <v>283</v>
      </c>
    </row>
    <row r="17" spans="1:9" x14ac:dyDescent="0.25">
      <c r="A17" s="3" t="s">
        <v>60</v>
      </c>
      <c r="B17" s="2">
        <v>2</v>
      </c>
      <c r="C17" s="2" t="s">
        <v>179</v>
      </c>
      <c r="D17" s="6" t="s">
        <v>61</v>
      </c>
      <c r="E17" s="6" t="s">
        <v>62</v>
      </c>
      <c r="F17" s="6" t="s">
        <v>63</v>
      </c>
      <c r="G17" s="2" t="s">
        <v>213</v>
      </c>
      <c r="H17" s="2" t="s">
        <v>213</v>
      </c>
      <c r="I17" s="12" t="s">
        <v>283</v>
      </c>
    </row>
    <row r="18" spans="1:9" x14ac:dyDescent="0.25">
      <c r="A18" s="5" t="s">
        <v>68</v>
      </c>
      <c r="B18" s="2">
        <v>2</v>
      </c>
      <c r="C18" s="2" t="s">
        <v>187</v>
      </c>
      <c r="D18" s="6" t="s">
        <v>69</v>
      </c>
      <c r="E18" s="6" t="s">
        <v>70</v>
      </c>
      <c r="F18" s="6" t="s">
        <v>71</v>
      </c>
      <c r="G18" s="2" t="s">
        <v>213</v>
      </c>
      <c r="H18" s="2" t="s">
        <v>213</v>
      </c>
      <c r="I18" s="12" t="s">
        <v>283</v>
      </c>
    </row>
    <row r="19" spans="1:9" x14ac:dyDescent="0.25">
      <c r="A19" s="6" t="s">
        <v>39</v>
      </c>
      <c r="B19" s="2">
        <v>2</v>
      </c>
      <c r="C19" s="2" t="s">
        <v>188</v>
      </c>
      <c r="D19" s="6" t="s">
        <v>40</v>
      </c>
      <c r="E19" s="6" t="s">
        <v>41</v>
      </c>
      <c r="F19" s="6" t="s">
        <v>42</v>
      </c>
      <c r="G19" s="2" t="s">
        <v>213</v>
      </c>
      <c r="H19" s="2" t="s">
        <v>213</v>
      </c>
      <c r="I19" s="12" t="s">
        <v>283</v>
      </c>
    </row>
    <row r="20" spans="1:9" x14ac:dyDescent="0.25">
      <c r="A20" s="6" t="s">
        <v>47</v>
      </c>
      <c r="B20" s="2">
        <v>2</v>
      </c>
      <c r="C20" s="2" t="s">
        <v>193</v>
      </c>
      <c r="D20" s="3" t="s">
        <v>48</v>
      </c>
      <c r="E20" s="3" t="s">
        <v>49</v>
      </c>
      <c r="F20" s="3" t="s">
        <v>50</v>
      </c>
      <c r="G20" s="2" t="s">
        <v>213</v>
      </c>
      <c r="H20" s="2" t="s">
        <v>213</v>
      </c>
      <c r="I20" s="12" t="s">
        <v>283</v>
      </c>
    </row>
    <row r="21" spans="1:9" x14ac:dyDescent="0.25">
      <c r="A21" s="3" t="s">
        <v>67</v>
      </c>
      <c r="B21" s="2">
        <v>2</v>
      </c>
      <c r="C21" s="2" t="s">
        <v>181</v>
      </c>
      <c r="D21" s="6" t="s">
        <v>64</v>
      </c>
      <c r="E21" s="6" t="s">
        <v>65</v>
      </c>
      <c r="F21" s="6" t="s">
        <v>66</v>
      </c>
      <c r="G21" s="2" t="s">
        <v>213</v>
      </c>
      <c r="H21" s="2" t="s">
        <v>213</v>
      </c>
      <c r="I21" s="12" t="s">
        <v>283</v>
      </c>
    </row>
    <row r="22" spans="1:9" x14ac:dyDescent="0.25">
      <c r="A22" s="3" t="s">
        <v>76</v>
      </c>
      <c r="B22" s="2">
        <v>3</v>
      </c>
      <c r="C22" s="2" t="s">
        <v>194</v>
      </c>
      <c r="D22" s="6" t="s">
        <v>77</v>
      </c>
      <c r="E22" s="6" t="s">
        <v>78</v>
      </c>
      <c r="F22" s="6" t="s">
        <v>79</v>
      </c>
      <c r="G22" s="2" t="s">
        <v>213</v>
      </c>
      <c r="H22" s="6" t="s">
        <v>216</v>
      </c>
      <c r="I22" s="12" t="s">
        <v>283</v>
      </c>
    </row>
    <row r="23" spans="1:9" x14ac:dyDescent="0.25">
      <c r="A23" s="3" t="s">
        <v>80</v>
      </c>
      <c r="B23" s="2">
        <v>3</v>
      </c>
      <c r="C23" s="2" t="s">
        <v>195</v>
      </c>
      <c r="D23" s="6" t="s">
        <v>81</v>
      </c>
      <c r="E23" s="6" t="s">
        <v>82</v>
      </c>
      <c r="F23" s="6" t="s">
        <v>83</v>
      </c>
      <c r="G23" s="2" t="s">
        <v>213</v>
      </c>
      <c r="H23" s="6" t="s">
        <v>216</v>
      </c>
      <c r="I23" s="12" t="s">
        <v>283</v>
      </c>
    </row>
    <row r="24" spans="1:9" x14ac:dyDescent="0.25">
      <c r="A24" s="3" t="s">
        <v>232</v>
      </c>
      <c r="B24" s="2">
        <v>3</v>
      </c>
      <c r="C24" s="2" t="s">
        <v>233</v>
      </c>
      <c r="D24" s="6" t="s">
        <v>234</v>
      </c>
      <c r="E24" s="6" t="s">
        <v>235</v>
      </c>
      <c r="F24" s="6" t="s">
        <v>236</v>
      </c>
      <c r="G24" s="2" t="s">
        <v>213</v>
      </c>
      <c r="H24" s="2" t="s">
        <v>216</v>
      </c>
      <c r="I24" s="12" t="s">
        <v>283</v>
      </c>
    </row>
    <row r="25" spans="1:9" x14ac:dyDescent="0.25">
      <c r="A25" s="3" t="s">
        <v>87</v>
      </c>
      <c r="B25" s="2">
        <v>4</v>
      </c>
      <c r="C25" s="2" t="s">
        <v>196</v>
      </c>
      <c r="D25" s="6" t="s">
        <v>84</v>
      </c>
      <c r="E25" s="10" t="s">
        <v>85</v>
      </c>
      <c r="F25" s="10" t="s">
        <v>86</v>
      </c>
      <c r="G25" s="2" t="s">
        <v>213</v>
      </c>
      <c r="H25" s="2" t="s">
        <v>213</v>
      </c>
      <c r="I25" s="12" t="s">
        <v>283</v>
      </c>
    </row>
    <row r="26" spans="1:9" x14ac:dyDescent="0.25">
      <c r="A26" s="5" t="s">
        <v>88</v>
      </c>
      <c r="B26" s="2">
        <v>4</v>
      </c>
      <c r="C26" s="2" t="s">
        <v>185</v>
      </c>
      <c r="D26" s="6" t="s">
        <v>89</v>
      </c>
      <c r="E26" s="6" t="s">
        <v>90</v>
      </c>
      <c r="F26" s="6" t="s">
        <v>91</v>
      </c>
      <c r="G26" s="2" t="s">
        <v>213</v>
      </c>
      <c r="H26" s="2" t="s">
        <v>213</v>
      </c>
      <c r="I26" s="12" t="s">
        <v>283</v>
      </c>
    </row>
    <row r="27" spans="1:9" x14ac:dyDescent="0.25">
      <c r="A27" s="3" t="s">
        <v>92</v>
      </c>
      <c r="B27" s="2">
        <v>4</v>
      </c>
      <c r="C27" s="2" t="s">
        <v>197</v>
      </c>
      <c r="D27" s="7" t="s">
        <v>93</v>
      </c>
      <c r="E27" s="7" t="s">
        <v>94</v>
      </c>
      <c r="F27" s="7" t="s">
        <v>95</v>
      </c>
      <c r="G27" s="2" t="s">
        <v>213</v>
      </c>
      <c r="H27" s="6" t="s">
        <v>216</v>
      </c>
      <c r="I27" s="12" t="s">
        <v>283</v>
      </c>
    </row>
    <row r="28" spans="1:9" x14ac:dyDescent="0.25">
      <c r="A28" s="3" t="s">
        <v>11</v>
      </c>
      <c r="B28" s="2" t="s">
        <v>263</v>
      </c>
      <c r="C28" s="2" t="s">
        <v>198</v>
      </c>
      <c r="D28" s="6" t="s">
        <v>10</v>
      </c>
      <c r="E28" s="6" t="s">
        <v>8</v>
      </c>
      <c r="F28" s="8" t="s">
        <v>9</v>
      </c>
      <c r="G28" s="2" t="s">
        <v>244</v>
      </c>
      <c r="H28" s="2" t="s">
        <v>213</v>
      </c>
      <c r="I28" s="12" t="s">
        <v>284</v>
      </c>
    </row>
    <row r="29" spans="1:9" x14ac:dyDescent="0.25">
      <c r="A29" s="3" t="s">
        <v>101</v>
      </c>
      <c r="B29" s="2" t="s">
        <v>263</v>
      </c>
      <c r="C29" s="2" t="s">
        <v>199</v>
      </c>
      <c r="D29" s="2" t="s">
        <v>98</v>
      </c>
      <c r="E29" s="2" t="s">
        <v>99</v>
      </c>
      <c r="F29" s="2" t="s">
        <v>100</v>
      </c>
      <c r="G29" s="2" t="s">
        <v>244</v>
      </c>
      <c r="H29" s="2" t="s">
        <v>213</v>
      </c>
      <c r="I29" s="12" t="s">
        <v>284</v>
      </c>
    </row>
    <row r="30" spans="1:9" x14ac:dyDescent="0.25">
      <c r="A30" s="3" t="s">
        <v>242</v>
      </c>
      <c r="B30" s="2" t="s">
        <v>261</v>
      </c>
      <c r="C30" s="2" t="s">
        <v>182</v>
      </c>
      <c r="D30" s="7" t="s">
        <v>153</v>
      </c>
      <c r="E30" s="7" t="s">
        <v>96</v>
      </c>
      <c r="F30" s="7" t="s">
        <v>97</v>
      </c>
      <c r="G30" s="2" t="s">
        <v>243</v>
      </c>
      <c r="H30" s="6" t="s">
        <v>277</v>
      </c>
      <c r="I30" s="15" t="s">
        <v>283</v>
      </c>
    </row>
    <row r="31" spans="1:9" x14ac:dyDescent="0.25">
      <c r="A31" s="16" t="s">
        <v>285</v>
      </c>
    </row>
    <row r="34" spans="1:1" x14ac:dyDescent="0.25">
      <c r="A34" s="12" t="s">
        <v>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>
      <selection activeCell="C2" activeCellId="1" sqref="A2:A13 C2:E13"/>
    </sheetView>
  </sheetViews>
  <sheetFormatPr defaultRowHeight="15" x14ac:dyDescent="0.25"/>
  <cols>
    <col min="1" max="1" width="30.5703125" bestFit="1" customWidth="1"/>
    <col min="2" max="2" width="7" customWidth="1"/>
    <col min="3" max="3" width="14" bestFit="1" customWidth="1"/>
    <col min="4" max="4" width="20.7109375" customWidth="1"/>
    <col min="5" max="5" width="21.5703125" customWidth="1"/>
    <col min="6" max="6" width="22.140625" customWidth="1"/>
    <col min="8" max="8" width="11.5703125" bestFit="1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0" x14ac:dyDescent="0.25">
      <c r="A2" s="25" t="s">
        <v>1</v>
      </c>
      <c r="B2" s="2">
        <v>1</v>
      </c>
      <c r="C2" s="2" t="s">
        <v>158</v>
      </c>
      <c r="D2" s="2" t="s">
        <v>2</v>
      </c>
      <c r="E2" s="2" t="s">
        <v>3</v>
      </c>
      <c r="F2" s="2" t="s">
        <v>4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",TRUE,UPPER(D2:E13))</f>
        <v>AMP_ND10, AMP_NM, CIP_ND5, CIP_NM, LVX_ND5, LVX_NM, SXT_ND1_2, SXT_NM, CTX_ND30, CTX_NM, CRO_ND30, CRO_NM, AZM_ND15, AZM_NM, ETP_ND10, ETP_NM, IPM_ND10, IPM_NM, MEM_ND10, MEM_NM, TCY_ND30, TCY_NM, COL_ND10, COL_NM</v>
      </c>
    </row>
    <row r="3" spans="1:10" x14ac:dyDescent="0.25">
      <c r="A3" s="25" t="s">
        <v>19</v>
      </c>
      <c r="B3" s="2">
        <v>1</v>
      </c>
      <c r="C3" s="2" t="s">
        <v>174</v>
      </c>
      <c r="D3" s="2" t="s">
        <v>20</v>
      </c>
      <c r="E3" s="2" t="s">
        <v>21</v>
      </c>
      <c r="F3" s="2" t="s">
        <v>22</v>
      </c>
      <c r="G3" s="2" t="s">
        <v>213</v>
      </c>
      <c r="H3" s="2" t="s">
        <v>213</v>
      </c>
      <c r="I3" s="12" t="s">
        <v>283</v>
      </c>
      <c r="J3" t="s">
        <v>360</v>
      </c>
    </row>
    <row r="4" spans="1:10" x14ac:dyDescent="0.25">
      <c r="A4" s="25" t="s">
        <v>27</v>
      </c>
      <c r="B4" s="2">
        <v>1</v>
      </c>
      <c r="C4" s="2" t="s">
        <v>175</v>
      </c>
      <c r="D4" s="2" t="s">
        <v>28</v>
      </c>
      <c r="E4" s="2" t="s">
        <v>29</v>
      </c>
      <c r="F4" s="2" t="s">
        <v>30</v>
      </c>
      <c r="G4" s="2" t="s">
        <v>213</v>
      </c>
      <c r="H4" s="2" t="s">
        <v>213</v>
      </c>
      <c r="I4" s="12" t="s">
        <v>283</v>
      </c>
    </row>
    <row r="5" spans="1:10" x14ac:dyDescent="0.25">
      <c r="A5" s="28" t="s">
        <v>115</v>
      </c>
      <c r="B5" s="6">
        <v>1</v>
      </c>
      <c r="C5" s="7" t="s">
        <v>176</v>
      </c>
      <c r="D5" s="7" t="s">
        <v>36</v>
      </c>
      <c r="E5" s="7" t="s">
        <v>37</v>
      </c>
      <c r="F5" s="7" t="s">
        <v>38</v>
      </c>
      <c r="G5" s="2" t="s">
        <v>213</v>
      </c>
      <c r="H5" s="2" t="s">
        <v>213</v>
      </c>
      <c r="I5" s="12" t="s">
        <v>283</v>
      </c>
      <c r="J5" t="str">
        <f>_xlfn.TEXTJOIN(", ",TRUE,A2:A13)</f>
        <v>Ampicillin, Ciprofloxacin, Levofloxacin, Trimethoprim-sulfamethoxazole, Cefotaxime, Ceftriaxone, *Azithromycin, Ertapenem, Imipenem, Meropenem, Tetracycline, Colistin</v>
      </c>
    </row>
    <row r="6" spans="1:10" x14ac:dyDescent="0.25">
      <c r="A6" s="26" t="s">
        <v>12</v>
      </c>
      <c r="B6" s="3">
        <v>1</v>
      </c>
      <c r="C6" s="4" t="s">
        <v>172</v>
      </c>
      <c r="D6" s="2" t="s">
        <v>13</v>
      </c>
      <c r="E6" s="2" t="s">
        <v>14</v>
      </c>
      <c r="F6" s="2" t="s">
        <v>15</v>
      </c>
      <c r="G6" s="2" t="s">
        <v>213</v>
      </c>
      <c r="H6" s="2" t="s">
        <v>246</v>
      </c>
      <c r="I6" s="12" t="s">
        <v>283</v>
      </c>
      <c r="J6" t="s">
        <v>381</v>
      </c>
    </row>
    <row r="7" spans="1:10" x14ac:dyDescent="0.25">
      <c r="A7" s="27" t="s">
        <v>16</v>
      </c>
      <c r="B7" s="5">
        <v>1</v>
      </c>
      <c r="C7" s="3" t="s">
        <v>173</v>
      </c>
      <c r="D7" s="2" t="s">
        <v>114</v>
      </c>
      <c r="E7" s="2" t="s">
        <v>17</v>
      </c>
      <c r="F7" s="2" t="s">
        <v>18</v>
      </c>
      <c r="G7" s="2" t="s">
        <v>213</v>
      </c>
      <c r="H7" s="2" t="s">
        <v>246</v>
      </c>
      <c r="I7" s="12" t="s">
        <v>283</v>
      </c>
    </row>
    <row r="8" spans="1:10" x14ac:dyDescent="0.25">
      <c r="A8" s="28" t="s">
        <v>267</v>
      </c>
      <c r="B8" s="6">
        <v>2</v>
      </c>
      <c r="C8" s="7" t="s">
        <v>177</v>
      </c>
      <c r="D8" s="2" t="s">
        <v>103</v>
      </c>
      <c r="E8" s="2" t="s">
        <v>104</v>
      </c>
      <c r="F8" s="2" t="s">
        <v>105</v>
      </c>
      <c r="G8" s="2" t="s">
        <v>213</v>
      </c>
      <c r="H8" s="2" t="s">
        <v>213</v>
      </c>
      <c r="I8" s="12" t="s">
        <v>286</v>
      </c>
    </row>
    <row r="9" spans="1:10" x14ac:dyDescent="0.25">
      <c r="A9" s="25" t="s">
        <v>52</v>
      </c>
      <c r="B9" s="2">
        <v>4</v>
      </c>
      <c r="C9" s="2" t="s">
        <v>180</v>
      </c>
      <c r="D9" s="2" t="s">
        <v>53</v>
      </c>
      <c r="E9" s="2" t="s">
        <v>54</v>
      </c>
      <c r="F9" s="2" t="s">
        <v>55</v>
      </c>
      <c r="G9" s="2" t="s">
        <v>213</v>
      </c>
      <c r="H9" s="2" t="s">
        <v>213</v>
      </c>
      <c r="I9" s="12" t="s">
        <v>216</v>
      </c>
    </row>
    <row r="10" spans="1:10" x14ac:dyDescent="0.25">
      <c r="A10" s="27" t="s">
        <v>56</v>
      </c>
      <c r="B10" s="5">
        <v>4</v>
      </c>
      <c r="C10" s="2" t="s">
        <v>178</v>
      </c>
      <c r="D10" s="6" t="s">
        <v>57</v>
      </c>
      <c r="E10" s="6" t="s">
        <v>58</v>
      </c>
      <c r="F10" s="6" t="s">
        <v>59</v>
      </c>
      <c r="G10" s="2" t="s">
        <v>213</v>
      </c>
      <c r="H10" s="2" t="s">
        <v>213</v>
      </c>
      <c r="I10" s="12" t="s">
        <v>216</v>
      </c>
    </row>
    <row r="11" spans="1:10" x14ac:dyDescent="0.25">
      <c r="A11" s="26" t="s">
        <v>60</v>
      </c>
      <c r="B11" s="3">
        <v>4</v>
      </c>
      <c r="C11" s="2" t="s">
        <v>179</v>
      </c>
      <c r="D11" s="6" t="s">
        <v>61</v>
      </c>
      <c r="E11" s="6" t="s">
        <v>62</v>
      </c>
      <c r="F11" s="6" t="s">
        <v>63</v>
      </c>
      <c r="G11" s="2" t="s">
        <v>213</v>
      </c>
      <c r="H11" s="2" t="s">
        <v>213</v>
      </c>
      <c r="I11" s="12" t="s">
        <v>216</v>
      </c>
    </row>
    <row r="12" spans="1:10" x14ac:dyDescent="0.25">
      <c r="A12" s="26" t="s">
        <v>67</v>
      </c>
      <c r="B12" s="3">
        <v>4</v>
      </c>
      <c r="C12" s="2" t="s">
        <v>181</v>
      </c>
      <c r="D12" s="6" t="s">
        <v>64</v>
      </c>
      <c r="E12" s="6" t="s">
        <v>65</v>
      </c>
      <c r="F12" s="6" t="s">
        <v>66</v>
      </c>
      <c r="G12" s="2" t="s">
        <v>213</v>
      </c>
      <c r="H12" s="2" t="s">
        <v>213</v>
      </c>
      <c r="I12" s="12" t="s">
        <v>283</v>
      </c>
    </row>
    <row r="13" spans="1:10" x14ac:dyDescent="0.25">
      <c r="A13" s="29" t="s">
        <v>242</v>
      </c>
      <c r="B13" s="29" t="s">
        <v>261</v>
      </c>
      <c r="C13" s="30" t="s">
        <v>182</v>
      </c>
      <c r="D13" s="31" t="s">
        <v>153</v>
      </c>
      <c r="E13" s="31" t="s">
        <v>96</v>
      </c>
      <c r="F13" s="31" t="s">
        <v>97</v>
      </c>
      <c r="G13" s="30" t="s">
        <v>243</v>
      </c>
      <c r="H13" s="32" t="s">
        <v>277</v>
      </c>
      <c r="I13" s="33" t="s">
        <v>283</v>
      </c>
    </row>
    <row r="15" spans="1:10" x14ac:dyDescent="0.25">
      <c r="A15" s="21" t="s">
        <v>285</v>
      </c>
    </row>
    <row r="20" spans="1:10" x14ac:dyDescent="0.25">
      <c r="A20" t="s">
        <v>268</v>
      </c>
    </row>
    <row r="28" spans="1:10" x14ac:dyDescent="0.25">
      <c r="J28" s="2"/>
    </row>
    <row r="29" spans="1:10" x14ac:dyDescent="0.25">
      <c r="J29" s="2"/>
    </row>
    <row r="30" spans="1:10" x14ac:dyDescent="0.25">
      <c r="J30" s="2"/>
    </row>
    <row r="31" spans="1:10" x14ac:dyDescent="0.25">
      <c r="J31" s="7"/>
    </row>
    <row r="32" spans="1:10" x14ac:dyDescent="0.25">
      <c r="J32" s="2"/>
    </row>
    <row r="33" spans="10:10" x14ac:dyDescent="0.25">
      <c r="J33" s="2"/>
    </row>
    <row r="34" spans="10:10" x14ac:dyDescent="0.25">
      <c r="J34" s="2"/>
    </row>
    <row r="35" spans="10:10" x14ac:dyDescent="0.25">
      <c r="J35" s="2"/>
    </row>
    <row r="36" spans="10:10" x14ac:dyDescent="0.25">
      <c r="J36" s="6"/>
    </row>
    <row r="37" spans="10:10" x14ac:dyDescent="0.25">
      <c r="J37" s="6"/>
    </row>
    <row r="38" spans="10:10" x14ac:dyDescent="0.25">
      <c r="J38" s="6"/>
    </row>
    <row r="39" spans="10:10" x14ac:dyDescent="0.25">
      <c r="J39" s="7"/>
    </row>
    <row r="40" spans="10:10" x14ac:dyDescent="0.25">
      <c r="J40" s="7"/>
    </row>
    <row r="41" spans="10:10" x14ac:dyDescent="0.25">
      <c r="J41" s="2"/>
    </row>
    <row r="42" spans="10:10" x14ac:dyDescent="0.25">
      <c r="J42" s="2"/>
    </row>
    <row r="43" spans="10:10" x14ac:dyDescent="0.25">
      <c r="J43" s="2"/>
    </row>
    <row r="44" spans="10:10" x14ac:dyDescent="0.25">
      <c r="J44" s="7"/>
    </row>
    <row r="45" spans="10:10" x14ac:dyDescent="0.25">
      <c r="J45" s="2"/>
    </row>
    <row r="46" spans="10:10" x14ac:dyDescent="0.25">
      <c r="J46" s="2"/>
    </row>
    <row r="47" spans="10:10" x14ac:dyDescent="0.25">
      <c r="J47" s="2"/>
    </row>
    <row r="48" spans="10:10" x14ac:dyDescent="0.25">
      <c r="J48" s="2"/>
    </row>
    <row r="49" spans="10:10" x14ac:dyDescent="0.25">
      <c r="J49" s="6"/>
    </row>
    <row r="50" spans="10:10" x14ac:dyDescent="0.25">
      <c r="J50" s="6"/>
    </row>
    <row r="51" spans="10:10" x14ac:dyDescent="0.25">
      <c r="J51" s="6"/>
    </row>
    <row r="52" spans="10:10" x14ac:dyDescent="0.25">
      <c r="J52" s="7"/>
    </row>
    <row r="53" spans="10:10" x14ac:dyDescent="0.25">
      <c r="J5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topLeftCell="A19" workbookViewId="0">
      <selection activeCell="K29" sqref="K29"/>
    </sheetView>
  </sheetViews>
  <sheetFormatPr defaultRowHeight="15" x14ac:dyDescent="0.25"/>
  <cols>
    <col min="1" max="1" width="23" bestFit="1" customWidth="1"/>
    <col min="2" max="2" width="4.42578125" bestFit="1" customWidth="1"/>
    <col min="3" max="3" width="14" bestFit="1" customWidth="1"/>
    <col min="4" max="4" width="17.85546875" bestFit="1" customWidth="1"/>
    <col min="5" max="5" width="18.5703125" bestFit="1" customWidth="1"/>
    <col min="6" max="6" width="20.140625" bestFit="1" customWidth="1"/>
    <col min="8" max="8" width="12" bestFit="1" customWidth="1"/>
    <col min="9" max="9" width="14.28515625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0" x14ac:dyDescent="0.25">
      <c r="A2" s="34" t="s">
        <v>88</v>
      </c>
      <c r="B2" s="5">
        <v>1</v>
      </c>
      <c r="C2" s="4" t="s">
        <v>185</v>
      </c>
      <c r="D2" s="6" t="s">
        <v>89</v>
      </c>
      <c r="E2" s="6" t="s">
        <v>90</v>
      </c>
      <c r="F2" s="6" t="s">
        <v>91</v>
      </c>
      <c r="G2" s="2" t="s">
        <v>213</v>
      </c>
      <c r="H2" s="2" t="s">
        <v>213</v>
      </c>
      <c r="I2" s="17" t="s">
        <v>283</v>
      </c>
      <c r="J2" t="str" cm="1">
        <f t="array" ref="J2">_xlfn.TEXTJOIN(", ",TRUE,UPPER(D2:E15))</f>
        <v>CAZ_ND30, CAZ_NM, FEP_ND30, FEP_NM, TZP_ND100, TZP_NM, TOB_ND10, TOB_NM, CIP_ND5, CIP_NM, LVX_ND5, LVX_NM, IPM_ND10, IPM_NM, MEM_ND10, MEM_NM, CZA_ND30, CZA_NM, CZT_ND30, CZT_NM, IMR_ND10, IMR_NM, ATM_ND30, ATM_NM, AMK_ND30, AMK_NM, COL_ND10, COL_NM</v>
      </c>
    </row>
    <row r="3" spans="1:10" x14ac:dyDescent="0.25">
      <c r="A3" s="35" t="s">
        <v>43</v>
      </c>
      <c r="B3" s="4">
        <v>1</v>
      </c>
      <c r="C3" s="4" t="s">
        <v>184</v>
      </c>
      <c r="D3" s="6" t="s">
        <v>44</v>
      </c>
      <c r="E3" s="6" t="s">
        <v>45</v>
      </c>
      <c r="F3" s="6" t="s">
        <v>46</v>
      </c>
      <c r="G3" s="2" t="s">
        <v>213</v>
      </c>
      <c r="H3" s="2" t="s">
        <v>213</v>
      </c>
      <c r="I3" s="17" t="s">
        <v>283</v>
      </c>
      <c r="J3" t="s">
        <v>364</v>
      </c>
    </row>
    <row r="4" spans="1:10" x14ac:dyDescent="0.25">
      <c r="A4" s="22" t="s">
        <v>34</v>
      </c>
      <c r="B4" s="2">
        <v>1</v>
      </c>
      <c r="C4" s="4" t="s">
        <v>192</v>
      </c>
      <c r="D4" s="2" t="s">
        <v>31</v>
      </c>
      <c r="E4" s="8" t="s">
        <v>32</v>
      </c>
      <c r="F4" s="2" t="s">
        <v>33</v>
      </c>
      <c r="G4" s="2" t="s">
        <v>213</v>
      </c>
      <c r="H4" s="2" t="s">
        <v>213</v>
      </c>
      <c r="I4" s="17" t="s">
        <v>283</v>
      </c>
    </row>
    <row r="5" spans="1:10" x14ac:dyDescent="0.25">
      <c r="A5" s="34" t="s">
        <v>68</v>
      </c>
      <c r="B5" s="5">
        <v>1</v>
      </c>
      <c r="C5" s="4" t="s">
        <v>187</v>
      </c>
      <c r="D5" s="6" t="s">
        <v>69</v>
      </c>
      <c r="E5" s="6" t="s">
        <v>70</v>
      </c>
      <c r="F5" s="6" t="s">
        <v>71</v>
      </c>
      <c r="G5" s="2" t="s">
        <v>213</v>
      </c>
      <c r="H5" s="2" t="s">
        <v>213</v>
      </c>
      <c r="I5" s="17" t="s">
        <v>283</v>
      </c>
      <c r="J5" t="str">
        <f>_xlfn.TEXTJOIN(", ",TRUE,A2:A15)</f>
        <v>Ceftazidime, Cefepime, Piperacillin-tazobactam, Tobramycin, Ciprofloxacin, Levofloxacin, Imipenem, Meropenem, Ceftazidime-avibactam, Ceftolozane-tazobactam, Imipenem-relebactam, Aztreonam, Amikacin, Colistin</v>
      </c>
    </row>
    <row r="6" spans="1:10" x14ac:dyDescent="0.25">
      <c r="A6" s="22" t="s">
        <v>19</v>
      </c>
      <c r="B6" s="2">
        <v>1</v>
      </c>
      <c r="C6" s="4" t="s">
        <v>174</v>
      </c>
      <c r="D6" s="2" t="s">
        <v>20</v>
      </c>
      <c r="E6" s="2" t="s">
        <v>21</v>
      </c>
      <c r="F6" s="2" t="s">
        <v>22</v>
      </c>
      <c r="G6" s="2" t="s">
        <v>213</v>
      </c>
      <c r="H6" s="2" t="s">
        <v>213</v>
      </c>
      <c r="I6" s="17" t="s">
        <v>283</v>
      </c>
      <c r="J6" t="s">
        <v>383</v>
      </c>
    </row>
    <row r="7" spans="1:10" x14ac:dyDescent="0.25">
      <c r="A7" s="22" t="s">
        <v>27</v>
      </c>
      <c r="B7" s="2">
        <v>1</v>
      </c>
      <c r="C7" s="4" t="s">
        <v>175</v>
      </c>
      <c r="D7" s="2" t="s">
        <v>28</v>
      </c>
      <c r="E7" s="2" t="s">
        <v>29</v>
      </c>
      <c r="F7" s="2" t="s">
        <v>30</v>
      </c>
      <c r="G7" s="2" t="s">
        <v>213</v>
      </c>
      <c r="H7" s="2" t="s">
        <v>213</v>
      </c>
      <c r="I7" s="17" t="s">
        <v>283</v>
      </c>
    </row>
    <row r="8" spans="1:10" x14ac:dyDescent="0.25">
      <c r="A8" s="34" t="s">
        <v>56</v>
      </c>
      <c r="B8" s="5">
        <v>2</v>
      </c>
      <c r="C8" s="4" t="s">
        <v>178</v>
      </c>
      <c r="D8" s="6" t="s">
        <v>57</v>
      </c>
      <c r="E8" s="6" t="s">
        <v>58</v>
      </c>
      <c r="F8" s="6" t="s">
        <v>59</v>
      </c>
      <c r="G8" s="2" t="s">
        <v>213</v>
      </c>
      <c r="H8" s="2" t="s">
        <v>213</v>
      </c>
      <c r="I8" s="17" t="s">
        <v>283</v>
      </c>
    </row>
    <row r="9" spans="1:10" x14ac:dyDescent="0.25">
      <c r="A9" s="24" t="s">
        <v>60</v>
      </c>
      <c r="B9" s="3">
        <v>2</v>
      </c>
      <c r="C9" s="4" t="s">
        <v>179</v>
      </c>
      <c r="D9" s="6" t="s">
        <v>61</v>
      </c>
      <c r="E9" s="6" t="s">
        <v>62</v>
      </c>
      <c r="F9" s="6" t="s">
        <v>63</v>
      </c>
      <c r="G9" s="2" t="s">
        <v>213</v>
      </c>
      <c r="H9" s="2" t="s">
        <v>213</v>
      </c>
      <c r="I9" s="17" t="s">
        <v>283</v>
      </c>
    </row>
    <row r="10" spans="1:10" x14ac:dyDescent="0.25">
      <c r="A10" s="24" t="s">
        <v>76</v>
      </c>
      <c r="B10" s="3">
        <v>3</v>
      </c>
      <c r="C10" s="4" t="s">
        <v>194</v>
      </c>
      <c r="D10" s="6" t="s">
        <v>77</v>
      </c>
      <c r="E10" s="6" t="s">
        <v>78</v>
      </c>
      <c r="F10" s="6" t="s">
        <v>79</v>
      </c>
      <c r="G10" s="2" t="s">
        <v>213</v>
      </c>
      <c r="H10" s="2" t="s">
        <v>216</v>
      </c>
      <c r="I10" s="17" t="s">
        <v>283</v>
      </c>
    </row>
    <row r="11" spans="1:10" x14ac:dyDescent="0.25">
      <c r="A11" s="24" t="s">
        <v>92</v>
      </c>
      <c r="B11" s="3">
        <v>3</v>
      </c>
      <c r="C11" s="4" t="s">
        <v>197</v>
      </c>
      <c r="D11" s="7" t="s">
        <v>93</v>
      </c>
      <c r="E11" s="7" t="s">
        <v>94</v>
      </c>
      <c r="F11" s="7" t="s">
        <v>95</v>
      </c>
      <c r="G11" s="2" t="s">
        <v>213</v>
      </c>
      <c r="H11" s="2" t="s">
        <v>216</v>
      </c>
      <c r="I11" s="17" t="s">
        <v>283</v>
      </c>
    </row>
    <row r="12" spans="1:10" x14ac:dyDescent="0.25">
      <c r="A12" s="24" t="s">
        <v>80</v>
      </c>
      <c r="B12" s="3">
        <v>3</v>
      </c>
      <c r="C12" s="4" t="s">
        <v>195</v>
      </c>
      <c r="D12" s="6" t="s">
        <v>81</v>
      </c>
      <c r="E12" s="6" t="s">
        <v>82</v>
      </c>
      <c r="F12" s="6" t="s">
        <v>83</v>
      </c>
      <c r="G12" s="2" t="s">
        <v>213</v>
      </c>
      <c r="H12" s="2" t="s">
        <v>216</v>
      </c>
      <c r="I12" s="17" t="s">
        <v>283</v>
      </c>
    </row>
    <row r="13" spans="1:10" x14ac:dyDescent="0.25">
      <c r="A13" s="24" t="s">
        <v>87</v>
      </c>
      <c r="B13" s="3">
        <v>4</v>
      </c>
      <c r="C13" s="4" t="s">
        <v>196</v>
      </c>
      <c r="D13" s="6" t="s">
        <v>84</v>
      </c>
      <c r="E13" s="10" t="s">
        <v>85</v>
      </c>
      <c r="F13" s="10" t="s">
        <v>86</v>
      </c>
      <c r="G13" s="2" t="s">
        <v>213</v>
      </c>
      <c r="H13" s="2" t="s">
        <v>213</v>
      </c>
      <c r="I13" s="17" t="s">
        <v>283</v>
      </c>
    </row>
    <row r="14" spans="1:10" x14ac:dyDescent="0.25">
      <c r="A14" s="6" t="s">
        <v>39</v>
      </c>
      <c r="B14" s="7" t="s">
        <v>264</v>
      </c>
      <c r="C14" s="4" t="s">
        <v>188</v>
      </c>
      <c r="D14" s="7" t="s">
        <v>40</v>
      </c>
      <c r="E14" s="7" t="s">
        <v>41</v>
      </c>
      <c r="F14" s="7" t="s">
        <v>42</v>
      </c>
      <c r="G14" s="2" t="s">
        <v>244</v>
      </c>
      <c r="H14" s="2" t="s">
        <v>213</v>
      </c>
      <c r="I14" s="18" t="s">
        <v>287</v>
      </c>
    </row>
    <row r="15" spans="1:10" x14ac:dyDescent="0.25">
      <c r="A15" s="24" t="s">
        <v>242</v>
      </c>
      <c r="B15" s="3" t="s">
        <v>261</v>
      </c>
      <c r="C15" s="2" t="s">
        <v>182</v>
      </c>
      <c r="D15" s="7" t="s">
        <v>153</v>
      </c>
      <c r="E15" s="7" t="s">
        <v>96</v>
      </c>
      <c r="F15" s="7" t="s">
        <v>97</v>
      </c>
      <c r="G15" s="2" t="s">
        <v>243</v>
      </c>
      <c r="H15" s="2" t="s">
        <v>278</v>
      </c>
      <c r="I15" s="17" t="s">
        <v>283</v>
      </c>
    </row>
    <row r="17" spans="1:1" x14ac:dyDescent="0.25">
      <c r="A17" s="21" t="s">
        <v>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selection activeCell="C2" activeCellId="1" sqref="A2:A16 C2:E16"/>
    </sheetView>
  </sheetViews>
  <sheetFormatPr defaultRowHeight="15" x14ac:dyDescent="0.25"/>
  <cols>
    <col min="1" max="1" width="28.7109375" bestFit="1" customWidth="1"/>
    <col min="2" max="2" width="4.42578125" bestFit="1" customWidth="1"/>
    <col min="3" max="3" width="14" bestFit="1" customWidth="1"/>
    <col min="4" max="4" width="17.85546875" bestFit="1" customWidth="1"/>
    <col min="5" max="5" width="18.5703125" bestFit="1" customWidth="1"/>
    <col min="6" max="6" width="20.140625" bestFit="1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288</v>
      </c>
    </row>
    <row r="2" spans="1:10" x14ac:dyDescent="0.25">
      <c r="A2" s="2" t="s">
        <v>109</v>
      </c>
      <c r="B2" s="2">
        <v>1</v>
      </c>
      <c r="C2" s="2" t="s">
        <v>183</v>
      </c>
      <c r="D2" s="2" t="s">
        <v>106</v>
      </c>
      <c r="E2" s="2" t="s">
        <v>107</v>
      </c>
      <c r="F2" s="8" t="s">
        <v>108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",TRUE,UPPER(D2:E16))</f>
        <v>SAM_ND10, SAM_NM, CAZ_ND30, CAZ_NM, FEP_ND30, FEP_NM, CIP_ND5, CIP_NM, LVX_ND5, LVX_NM, GEN_ND10, GEN_NM, TOB_ND10, TOB_NM, IPM_ND10, IPM_NM, MEM_ND10, MEM_NM, AMK_ND30, AMK_NM, TZP_ND100, TZP_NM, SXT_ND1_2, SXT_NM, CTX_ND30, CTX_NM, CRO_ND30, CRO_NM, COL_ND10, COL_NM</v>
      </c>
    </row>
    <row r="3" spans="1:10" x14ac:dyDescent="0.25">
      <c r="A3" s="5" t="s">
        <v>88</v>
      </c>
      <c r="B3" s="5">
        <v>1</v>
      </c>
      <c r="C3" s="2" t="s">
        <v>185</v>
      </c>
      <c r="D3" s="6" t="s">
        <v>89</v>
      </c>
      <c r="E3" s="6" t="s">
        <v>90</v>
      </c>
      <c r="F3" s="6" t="s">
        <v>91</v>
      </c>
      <c r="G3" s="2" t="s">
        <v>213</v>
      </c>
      <c r="H3" s="2" t="s">
        <v>213</v>
      </c>
      <c r="I3" s="12" t="s">
        <v>283</v>
      </c>
      <c r="J3" t="s">
        <v>365</v>
      </c>
    </row>
    <row r="4" spans="1:10" x14ac:dyDescent="0.25">
      <c r="A4" s="4" t="s">
        <v>43</v>
      </c>
      <c r="B4" s="4">
        <v>1</v>
      </c>
      <c r="C4" s="2" t="s">
        <v>184</v>
      </c>
      <c r="D4" s="6" t="s">
        <v>44</v>
      </c>
      <c r="E4" s="6" t="s">
        <v>45</v>
      </c>
      <c r="F4" s="6" t="s">
        <v>46</v>
      </c>
      <c r="G4" s="2" t="s">
        <v>213</v>
      </c>
      <c r="H4" s="2" t="s">
        <v>213</v>
      </c>
      <c r="I4" s="12" t="s">
        <v>283</v>
      </c>
    </row>
    <row r="5" spans="1:10" x14ac:dyDescent="0.25">
      <c r="A5" s="2" t="s">
        <v>19</v>
      </c>
      <c r="B5" s="2">
        <v>1</v>
      </c>
      <c r="C5" s="2" t="s">
        <v>174</v>
      </c>
      <c r="D5" s="2" t="s">
        <v>20</v>
      </c>
      <c r="E5" s="2" t="s">
        <v>21</v>
      </c>
      <c r="F5" s="2" t="s">
        <v>22</v>
      </c>
      <c r="G5" s="2" t="s">
        <v>213</v>
      </c>
      <c r="H5" s="2" t="s">
        <v>213</v>
      </c>
      <c r="I5" s="12" t="s">
        <v>283</v>
      </c>
    </row>
    <row r="6" spans="1:10" x14ac:dyDescent="0.25">
      <c r="A6" s="2" t="s">
        <v>27</v>
      </c>
      <c r="B6" s="2">
        <v>1</v>
      </c>
      <c r="C6" s="2" t="s">
        <v>175</v>
      </c>
      <c r="D6" s="2" t="s">
        <v>28</v>
      </c>
      <c r="E6" s="2" t="s">
        <v>29</v>
      </c>
      <c r="F6" s="2" t="s">
        <v>30</v>
      </c>
      <c r="G6" s="2" t="s">
        <v>213</v>
      </c>
      <c r="H6" s="2" t="s">
        <v>213</v>
      </c>
      <c r="I6" s="12" t="s">
        <v>283</v>
      </c>
      <c r="J6" t="str">
        <f>_xlfn.TEXTJOIN(", ",TRUE,A2:A16)</f>
        <v>Ampicillin-sulbactam, Ceftazidime, Cefepime, Ciprofloxacin, Levofloxacin, Gentamicin, Tobramycin, Imipenem, Meropenem, Amikacin, Piperacillin-tazobactam, Trimethoprim-sulfaethoxazole, Cefotaxime, Ceftriaxone, Colistin</v>
      </c>
    </row>
    <row r="7" spans="1:10" x14ac:dyDescent="0.25">
      <c r="A7" s="5" t="s">
        <v>23</v>
      </c>
      <c r="B7" s="5">
        <v>1</v>
      </c>
      <c r="C7" s="2" t="s">
        <v>186</v>
      </c>
      <c r="D7" s="6" t="s">
        <v>24</v>
      </c>
      <c r="E7" s="6" t="s">
        <v>25</v>
      </c>
      <c r="F7" s="6" t="s">
        <v>26</v>
      </c>
      <c r="G7" s="2" t="s">
        <v>213</v>
      </c>
      <c r="H7" s="2" t="s">
        <v>213</v>
      </c>
      <c r="I7" s="12" t="s">
        <v>283</v>
      </c>
      <c r="J7" t="s">
        <v>384</v>
      </c>
    </row>
    <row r="8" spans="1:10" x14ac:dyDescent="0.25">
      <c r="A8" s="5" t="s">
        <v>68</v>
      </c>
      <c r="B8" s="5">
        <v>1</v>
      </c>
      <c r="C8" s="2" t="s">
        <v>187</v>
      </c>
      <c r="D8" s="6" t="s">
        <v>69</v>
      </c>
      <c r="E8" s="6" t="s">
        <v>70</v>
      </c>
      <c r="F8" s="6" t="s">
        <v>71</v>
      </c>
      <c r="G8" s="2" t="s">
        <v>213</v>
      </c>
      <c r="H8" s="2" t="s">
        <v>213</v>
      </c>
      <c r="I8" s="12" t="s">
        <v>283</v>
      </c>
    </row>
    <row r="9" spans="1:10" x14ac:dyDescent="0.25">
      <c r="A9" s="5" t="s">
        <v>56</v>
      </c>
      <c r="B9" s="5">
        <v>2</v>
      </c>
      <c r="C9" s="2" t="s">
        <v>178</v>
      </c>
      <c r="D9" s="6" t="s">
        <v>57</v>
      </c>
      <c r="E9" s="6" t="s">
        <v>58</v>
      </c>
      <c r="F9" s="6" t="s">
        <v>59</v>
      </c>
      <c r="G9" s="2" t="s">
        <v>213</v>
      </c>
      <c r="H9" s="2" t="s">
        <v>213</v>
      </c>
      <c r="I9" s="12" t="s">
        <v>283</v>
      </c>
    </row>
    <row r="10" spans="1:10" x14ac:dyDescent="0.25">
      <c r="A10" s="3" t="s">
        <v>60</v>
      </c>
      <c r="B10" s="3">
        <v>2</v>
      </c>
      <c r="C10" s="2" t="s">
        <v>179</v>
      </c>
      <c r="D10" s="6" t="s">
        <v>61</v>
      </c>
      <c r="E10" s="6" t="s">
        <v>62</v>
      </c>
      <c r="F10" s="6" t="s">
        <v>63</v>
      </c>
      <c r="G10" s="2" t="s">
        <v>213</v>
      </c>
      <c r="H10" s="2" t="s">
        <v>213</v>
      </c>
      <c r="I10" s="12" t="s">
        <v>283</v>
      </c>
    </row>
    <row r="11" spans="1:10" x14ac:dyDescent="0.25">
      <c r="A11" s="6" t="s">
        <v>39</v>
      </c>
      <c r="B11" s="6">
        <v>2</v>
      </c>
      <c r="C11" s="2" t="s">
        <v>188</v>
      </c>
      <c r="D11" s="6" t="s">
        <v>40</v>
      </c>
      <c r="E11" s="6" t="s">
        <v>41</v>
      </c>
      <c r="F11" s="6" t="s">
        <v>42</v>
      </c>
      <c r="G11" s="2" t="s">
        <v>213</v>
      </c>
      <c r="H11" s="2" t="s">
        <v>213</v>
      </c>
      <c r="I11" s="12" t="s">
        <v>283</v>
      </c>
    </row>
    <row r="12" spans="1:10" x14ac:dyDescent="0.25">
      <c r="A12" s="3" t="s">
        <v>34</v>
      </c>
      <c r="B12" s="3">
        <v>2</v>
      </c>
      <c r="C12" s="2" t="s">
        <v>192</v>
      </c>
      <c r="D12" s="6" t="s">
        <v>31</v>
      </c>
      <c r="E12" s="6" t="s">
        <v>32</v>
      </c>
      <c r="F12" s="10" t="s">
        <v>33</v>
      </c>
      <c r="G12" s="2" t="s">
        <v>213</v>
      </c>
      <c r="H12" s="2" t="s">
        <v>213</v>
      </c>
      <c r="I12" s="12" t="s">
        <v>283</v>
      </c>
    </row>
    <row r="13" spans="1:10" x14ac:dyDescent="0.25">
      <c r="A13" s="7" t="s">
        <v>35</v>
      </c>
      <c r="B13" s="7">
        <v>2</v>
      </c>
      <c r="C13" s="2" t="s">
        <v>176</v>
      </c>
      <c r="D13" s="7" t="s">
        <v>36</v>
      </c>
      <c r="E13" s="7" t="s">
        <v>37</v>
      </c>
      <c r="F13" s="7" t="s">
        <v>38</v>
      </c>
      <c r="G13" s="2" t="s">
        <v>213</v>
      </c>
      <c r="H13" s="2" t="s">
        <v>213</v>
      </c>
      <c r="I13" s="12" t="s">
        <v>283</v>
      </c>
    </row>
    <row r="14" spans="1:10" x14ac:dyDescent="0.25">
      <c r="A14" s="3" t="s">
        <v>12</v>
      </c>
      <c r="B14" s="3">
        <v>4</v>
      </c>
      <c r="C14" s="2" t="s">
        <v>172</v>
      </c>
      <c r="D14" s="6" t="s">
        <v>13</v>
      </c>
      <c r="E14" s="6" t="s">
        <v>14</v>
      </c>
      <c r="F14" s="6" t="s">
        <v>15</v>
      </c>
      <c r="G14" s="2" t="s">
        <v>213</v>
      </c>
      <c r="H14" s="2" t="s">
        <v>213</v>
      </c>
      <c r="I14" s="12" t="s">
        <v>283</v>
      </c>
    </row>
    <row r="15" spans="1:10" x14ac:dyDescent="0.25">
      <c r="A15" s="5" t="s">
        <v>16</v>
      </c>
      <c r="B15" s="5">
        <v>4</v>
      </c>
      <c r="C15" s="2" t="s">
        <v>173</v>
      </c>
      <c r="D15" s="6" t="s">
        <v>114</v>
      </c>
      <c r="E15" s="6" t="s">
        <v>17</v>
      </c>
      <c r="F15" s="6" t="s">
        <v>18</v>
      </c>
      <c r="G15" s="2" t="s">
        <v>213</v>
      </c>
      <c r="H15" s="2" t="s">
        <v>213</v>
      </c>
      <c r="I15" s="12" t="s">
        <v>283</v>
      </c>
    </row>
    <row r="16" spans="1:10" x14ac:dyDescent="0.25">
      <c r="A16" s="3" t="s">
        <v>242</v>
      </c>
      <c r="B16" s="3">
        <v>4</v>
      </c>
      <c r="C16" s="2" t="s">
        <v>182</v>
      </c>
      <c r="D16" s="7" t="s">
        <v>153</v>
      </c>
      <c r="E16" s="7" t="s">
        <v>96</v>
      </c>
      <c r="F16" s="7" t="s">
        <v>97</v>
      </c>
      <c r="G16" s="2" t="s">
        <v>243</v>
      </c>
      <c r="H16" s="2" t="s">
        <v>246</v>
      </c>
      <c r="I16" s="12" t="s">
        <v>283</v>
      </c>
    </row>
    <row r="18" spans="1:1" x14ac:dyDescent="0.25">
      <c r="A18" s="16" t="s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>
      <selection activeCell="C2" activeCellId="1" sqref="A2:A5 C2:E5"/>
    </sheetView>
  </sheetViews>
  <sheetFormatPr defaultRowHeight="15" x14ac:dyDescent="0.25"/>
  <cols>
    <col min="1" max="1" width="30.5703125" bestFit="1" customWidth="1"/>
    <col min="2" max="2" width="8.140625" customWidth="1"/>
    <col min="3" max="3" width="14" bestFit="1" customWidth="1"/>
    <col min="4" max="4" width="17.85546875" bestFit="1" customWidth="1"/>
    <col min="5" max="5" width="18.5703125" bestFit="1" customWidth="1"/>
    <col min="6" max="6" width="20.140625" bestFit="1" customWidth="1"/>
    <col min="9" max="9" width="28.42578125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0" x14ac:dyDescent="0.25">
      <c r="A2" s="2" t="s">
        <v>27</v>
      </c>
      <c r="B2" s="2">
        <v>1</v>
      </c>
      <c r="C2" s="2" t="s">
        <v>175</v>
      </c>
      <c r="D2" s="2" t="s">
        <v>28</v>
      </c>
      <c r="E2" s="2" t="s">
        <v>29</v>
      </c>
      <c r="F2" s="2" t="s">
        <v>30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",TRUE,UPPER(D2:E8))</f>
        <v>LVX_ND5, LVX_NM, MNO_ND30, MNO_NM, SXT_ND1_2, SXT_NM, FDC_ND, FDC_NM</v>
      </c>
    </row>
    <row r="3" spans="1:10" x14ac:dyDescent="0.25">
      <c r="A3" s="3" t="s">
        <v>113</v>
      </c>
      <c r="B3" s="3">
        <v>1</v>
      </c>
      <c r="C3" s="2" t="s">
        <v>189</v>
      </c>
      <c r="D3" s="6" t="s">
        <v>110</v>
      </c>
      <c r="E3" s="6" t="s">
        <v>111</v>
      </c>
      <c r="F3" s="10" t="s">
        <v>112</v>
      </c>
      <c r="G3" s="2" t="s">
        <v>213</v>
      </c>
      <c r="H3" s="2" t="s">
        <v>213</v>
      </c>
      <c r="I3" t="s">
        <v>289</v>
      </c>
      <c r="J3" t="s">
        <v>361</v>
      </c>
    </row>
    <row r="4" spans="1:10" x14ac:dyDescent="0.25">
      <c r="A4" s="7" t="s">
        <v>115</v>
      </c>
      <c r="B4" s="7">
        <v>1</v>
      </c>
      <c r="C4" s="7" t="s">
        <v>176</v>
      </c>
      <c r="D4" s="7" t="s">
        <v>36</v>
      </c>
      <c r="E4" s="7" t="s">
        <v>37</v>
      </c>
      <c r="F4" s="7" t="s">
        <v>38</v>
      </c>
      <c r="G4" s="2" t="s">
        <v>213</v>
      </c>
      <c r="H4" s="2" t="s">
        <v>213</v>
      </c>
      <c r="I4" s="19" t="s">
        <v>283</v>
      </c>
    </row>
    <row r="5" spans="1:10" x14ac:dyDescent="0.25">
      <c r="A5" s="3" t="s">
        <v>72</v>
      </c>
      <c r="B5" s="3">
        <v>3</v>
      </c>
      <c r="C5" s="3" t="s">
        <v>190</v>
      </c>
      <c r="D5" s="7" t="s">
        <v>73</v>
      </c>
      <c r="E5" s="7" t="s">
        <v>74</v>
      </c>
      <c r="F5" s="7" t="s">
        <v>75</v>
      </c>
      <c r="G5" s="2" t="s">
        <v>213</v>
      </c>
      <c r="H5" s="6" t="s">
        <v>216</v>
      </c>
      <c r="I5" s="19" t="s">
        <v>216</v>
      </c>
    </row>
    <row r="7" spans="1:10" x14ac:dyDescent="0.25">
      <c r="A7" s="16" t="s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workbookViewId="0">
      <selection activeCell="C2" activeCellId="1" sqref="A2:A16 C2:E16"/>
    </sheetView>
  </sheetViews>
  <sheetFormatPr defaultRowHeight="15" x14ac:dyDescent="0.25"/>
  <cols>
    <col min="1" max="1" width="30.5703125" bestFit="1" customWidth="1"/>
    <col min="2" max="2" width="11.7109375" customWidth="1"/>
    <col min="3" max="3" width="14" bestFit="1" customWidth="1"/>
    <col min="4" max="4" width="17.85546875" bestFit="1" customWidth="1"/>
    <col min="5" max="5" width="18.5703125" bestFit="1" customWidth="1"/>
    <col min="6" max="6" width="20.140625" bestFit="1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0" x14ac:dyDescent="0.25">
      <c r="A2" s="2" t="s">
        <v>88</v>
      </c>
      <c r="B2" s="2">
        <v>1</v>
      </c>
      <c r="C2" s="2" t="s">
        <v>185</v>
      </c>
      <c r="D2" s="2" t="s">
        <v>89</v>
      </c>
      <c r="E2" s="2" t="s">
        <v>90</v>
      </c>
      <c r="F2" s="2" t="s">
        <v>91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",TRUE,UPPER(D2:E16))</f>
        <v>CAZ_ND30, CAZ_NM, GEN_ND10, GEN_NM, TOB_ND10, TOB_NM, TZP_ND100, TZP_NM, SXT_ND1_2, SXT_NM, FEP_ND30, FEP_NM, IPM_ND10, IPM_NM, MEM_ND10, MEM_NM, AMK_ND30, AMK_NM, ATM_ND30, ATM_NM, CIP_ND5, CIP_NM, LVX_ND5, LVX_NM, CTX_ND30, CTX_NM, CRO_ND30, CRO_NM, TCY_ND30, TCY_NM</v>
      </c>
    </row>
    <row r="3" spans="1:10" x14ac:dyDescent="0.25">
      <c r="A3" s="5" t="s">
        <v>23</v>
      </c>
      <c r="B3" s="5">
        <v>1</v>
      </c>
      <c r="C3" s="2" t="s">
        <v>186</v>
      </c>
      <c r="D3" s="6" t="s">
        <v>24</v>
      </c>
      <c r="E3" s="6" t="s">
        <v>25</v>
      </c>
      <c r="F3" s="6" t="s">
        <v>26</v>
      </c>
      <c r="G3" s="2" t="s">
        <v>213</v>
      </c>
      <c r="H3" s="2" t="s">
        <v>213</v>
      </c>
      <c r="I3" s="12" t="s">
        <v>283</v>
      </c>
      <c r="J3" t="s">
        <v>362</v>
      </c>
    </row>
    <row r="4" spans="1:10" x14ac:dyDescent="0.25">
      <c r="A4" s="5" t="s">
        <v>68</v>
      </c>
      <c r="B4" s="5">
        <v>1</v>
      </c>
      <c r="C4" s="2" t="s">
        <v>187</v>
      </c>
      <c r="D4" s="6" t="s">
        <v>69</v>
      </c>
      <c r="E4" s="6" t="s">
        <v>70</v>
      </c>
      <c r="F4" s="6" t="s">
        <v>71</v>
      </c>
      <c r="G4" s="2" t="s">
        <v>213</v>
      </c>
      <c r="H4" s="2" t="s">
        <v>213</v>
      </c>
      <c r="I4" s="12" t="s">
        <v>283</v>
      </c>
    </row>
    <row r="5" spans="1:10" x14ac:dyDescent="0.25">
      <c r="A5" s="2" t="s">
        <v>34</v>
      </c>
      <c r="B5" s="2">
        <v>1</v>
      </c>
      <c r="C5" s="2" t="s">
        <v>192</v>
      </c>
      <c r="D5" s="2" t="s">
        <v>31</v>
      </c>
      <c r="E5" s="8" t="s">
        <v>32</v>
      </c>
      <c r="F5" s="2" t="s">
        <v>33</v>
      </c>
      <c r="G5" s="2" t="s">
        <v>213</v>
      </c>
      <c r="H5" s="2" t="s">
        <v>213</v>
      </c>
      <c r="I5" s="12" t="s">
        <v>283</v>
      </c>
    </row>
    <row r="6" spans="1:10" x14ac:dyDescent="0.25">
      <c r="A6" s="7" t="s">
        <v>115</v>
      </c>
      <c r="B6" s="7">
        <v>1</v>
      </c>
      <c r="C6" s="2" t="s">
        <v>176</v>
      </c>
      <c r="D6" s="7" t="s">
        <v>36</v>
      </c>
      <c r="E6" s="7" t="s">
        <v>37</v>
      </c>
      <c r="F6" s="7" t="s">
        <v>38</v>
      </c>
      <c r="G6" s="2" t="s">
        <v>213</v>
      </c>
      <c r="H6" s="2" t="s">
        <v>213</v>
      </c>
      <c r="I6" s="12" t="s">
        <v>283</v>
      </c>
    </row>
    <row r="7" spans="1:10" x14ac:dyDescent="0.25">
      <c r="A7" s="4" t="s">
        <v>43</v>
      </c>
      <c r="B7" s="4">
        <v>2</v>
      </c>
      <c r="C7" s="4" t="s">
        <v>184</v>
      </c>
      <c r="D7" s="6" t="s">
        <v>44</v>
      </c>
      <c r="E7" s="6" t="s">
        <v>45</v>
      </c>
      <c r="F7" s="6" t="s">
        <v>46</v>
      </c>
      <c r="G7" s="2" t="s">
        <v>213</v>
      </c>
      <c r="H7" s="2" t="s">
        <v>213</v>
      </c>
      <c r="I7" s="12" t="s">
        <v>283</v>
      </c>
    </row>
    <row r="8" spans="1:10" x14ac:dyDescent="0.25">
      <c r="A8" s="5" t="s">
        <v>56</v>
      </c>
      <c r="B8" s="5">
        <v>2</v>
      </c>
      <c r="C8" s="2" t="s">
        <v>178</v>
      </c>
      <c r="D8" s="6" t="s">
        <v>57</v>
      </c>
      <c r="E8" s="6" t="s">
        <v>58</v>
      </c>
      <c r="F8" s="6" t="s">
        <v>59</v>
      </c>
      <c r="G8" s="2" t="s">
        <v>213</v>
      </c>
      <c r="H8" s="2" t="s">
        <v>213</v>
      </c>
      <c r="I8" s="12" t="s">
        <v>283</v>
      </c>
    </row>
    <row r="9" spans="1:10" x14ac:dyDescent="0.25">
      <c r="A9" s="3" t="s">
        <v>60</v>
      </c>
      <c r="B9" s="3">
        <v>2</v>
      </c>
      <c r="C9" s="2" t="s">
        <v>179</v>
      </c>
      <c r="D9" s="6" t="s">
        <v>61</v>
      </c>
      <c r="E9" s="6" t="s">
        <v>62</v>
      </c>
      <c r="F9" s="6" t="s">
        <v>63</v>
      </c>
      <c r="G9" s="2" t="s">
        <v>213</v>
      </c>
      <c r="H9" s="2" t="s">
        <v>213</v>
      </c>
      <c r="I9" s="12" t="s">
        <v>283</v>
      </c>
    </row>
    <row r="10" spans="1:10" x14ac:dyDescent="0.25">
      <c r="A10" s="6" t="s">
        <v>39</v>
      </c>
      <c r="B10" s="6">
        <v>2</v>
      </c>
      <c r="C10" s="2" t="s">
        <v>188</v>
      </c>
      <c r="D10" s="6" t="s">
        <v>40</v>
      </c>
      <c r="E10" s="6" t="s">
        <v>41</v>
      </c>
      <c r="F10" s="6" t="s">
        <v>42</v>
      </c>
      <c r="G10" s="2" t="s">
        <v>213</v>
      </c>
      <c r="H10" s="2" t="s">
        <v>213</v>
      </c>
      <c r="I10" s="12" t="s">
        <v>283</v>
      </c>
    </row>
    <row r="11" spans="1:10" x14ac:dyDescent="0.25">
      <c r="A11" s="3" t="s">
        <v>87</v>
      </c>
      <c r="B11" s="3">
        <v>2</v>
      </c>
      <c r="C11" s="4" t="s">
        <v>196</v>
      </c>
      <c r="D11" s="6" t="s">
        <v>84</v>
      </c>
      <c r="E11" s="10" t="s">
        <v>85</v>
      </c>
      <c r="F11" s="10" t="s">
        <v>86</v>
      </c>
      <c r="G11" s="2" t="s">
        <v>213</v>
      </c>
      <c r="H11" s="2" t="s">
        <v>213</v>
      </c>
      <c r="I11" s="12" t="s">
        <v>283</v>
      </c>
    </row>
    <row r="12" spans="1:10" x14ac:dyDescent="0.25">
      <c r="A12" s="2" t="s">
        <v>19</v>
      </c>
      <c r="B12" s="2">
        <v>2</v>
      </c>
      <c r="C12" s="2" t="s">
        <v>174</v>
      </c>
      <c r="D12" s="2" t="s">
        <v>20</v>
      </c>
      <c r="E12" s="2" t="s">
        <v>21</v>
      </c>
      <c r="F12" s="2" t="s">
        <v>22</v>
      </c>
      <c r="G12" s="2" t="s">
        <v>213</v>
      </c>
      <c r="H12" s="2" t="s">
        <v>213</v>
      </c>
      <c r="I12" s="12" t="s">
        <v>283</v>
      </c>
    </row>
    <row r="13" spans="1:10" x14ac:dyDescent="0.25">
      <c r="A13" s="2" t="s">
        <v>27</v>
      </c>
      <c r="B13" s="2">
        <v>2</v>
      </c>
      <c r="C13" s="2" t="s">
        <v>175</v>
      </c>
      <c r="D13" s="2" t="s">
        <v>28</v>
      </c>
      <c r="E13" s="2" t="s">
        <v>29</v>
      </c>
      <c r="F13" s="2" t="s">
        <v>30</v>
      </c>
      <c r="G13" s="2" t="s">
        <v>213</v>
      </c>
      <c r="H13" s="2" t="s">
        <v>213</v>
      </c>
      <c r="I13" s="12" t="s">
        <v>283</v>
      </c>
    </row>
    <row r="14" spans="1:10" x14ac:dyDescent="0.25">
      <c r="A14" s="3" t="s">
        <v>12</v>
      </c>
      <c r="B14" s="3">
        <v>4</v>
      </c>
      <c r="C14" s="2" t="s">
        <v>172</v>
      </c>
      <c r="D14" s="6" t="s">
        <v>13</v>
      </c>
      <c r="E14" s="6" t="s">
        <v>14</v>
      </c>
      <c r="F14" s="6" t="s">
        <v>15</v>
      </c>
      <c r="G14" s="2" t="s">
        <v>213</v>
      </c>
      <c r="H14" s="2" t="s">
        <v>213</v>
      </c>
      <c r="I14" s="12" t="s">
        <v>283</v>
      </c>
    </row>
    <row r="15" spans="1:10" x14ac:dyDescent="0.25">
      <c r="A15" s="5" t="s">
        <v>16</v>
      </c>
      <c r="B15" s="5">
        <v>4</v>
      </c>
      <c r="C15" s="2" t="s">
        <v>173</v>
      </c>
      <c r="D15" s="6" t="s">
        <v>114</v>
      </c>
      <c r="E15" s="6" t="s">
        <v>17</v>
      </c>
      <c r="F15" s="6" t="s">
        <v>18</v>
      </c>
      <c r="G15" s="2" t="s">
        <v>213</v>
      </c>
      <c r="H15" s="2" t="s">
        <v>213</v>
      </c>
      <c r="I15" s="12" t="s">
        <v>283</v>
      </c>
    </row>
    <row r="16" spans="1:10" x14ac:dyDescent="0.25">
      <c r="A16" s="3" t="s">
        <v>67</v>
      </c>
      <c r="B16" s="3" t="s">
        <v>263</v>
      </c>
      <c r="C16" s="2" t="s">
        <v>181</v>
      </c>
      <c r="D16" s="6" t="s">
        <v>64</v>
      </c>
      <c r="E16" s="6" t="s">
        <v>65</v>
      </c>
      <c r="F16" s="6" t="s">
        <v>66</v>
      </c>
      <c r="G16" s="2" t="s">
        <v>244</v>
      </c>
      <c r="H16" s="2" t="s">
        <v>213</v>
      </c>
      <c r="I16" s="12" t="s">
        <v>290</v>
      </c>
    </row>
    <row r="18" spans="1:1" x14ac:dyDescent="0.25">
      <c r="A18" s="16" t="s">
        <v>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2"/>
  <sheetViews>
    <sheetView workbookViewId="0">
      <selection activeCell="C2" activeCellId="1" sqref="A2:A16 C2:E16"/>
    </sheetView>
  </sheetViews>
  <sheetFormatPr defaultColWidth="16.28515625" defaultRowHeight="15" x14ac:dyDescent="0.25"/>
  <cols>
    <col min="1" max="1" width="30.5703125" bestFit="1" customWidth="1"/>
    <col min="2" max="2" width="7" customWidth="1"/>
    <col min="3" max="3" width="14" bestFit="1" customWidth="1"/>
    <col min="4" max="4" width="17.85546875" bestFit="1" customWidth="1"/>
    <col min="5" max="5" width="18.5703125" bestFit="1" customWidth="1"/>
    <col min="6" max="6" width="20.140625" bestFit="1" customWidth="1"/>
    <col min="7" max="7" width="8" bestFit="1" customWidth="1"/>
    <col min="9" max="9" width="19.85546875" customWidth="1"/>
    <col min="10" max="10" width="25.42578125" customWidth="1"/>
  </cols>
  <sheetData>
    <row r="1" spans="1:11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291</v>
      </c>
    </row>
    <row r="2" spans="1:11" x14ac:dyDescent="0.25">
      <c r="A2" s="23" t="s">
        <v>102</v>
      </c>
      <c r="B2" s="7">
        <v>1</v>
      </c>
      <c r="C2" s="7" t="s">
        <v>177</v>
      </c>
      <c r="D2" s="2" t="s">
        <v>103</v>
      </c>
      <c r="E2" s="2" t="s">
        <v>104</v>
      </c>
      <c r="F2" s="2" t="s">
        <v>105</v>
      </c>
      <c r="G2" s="2" t="s">
        <v>213</v>
      </c>
      <c r="H2" s="2" t="s">
        <v>246</v>
      </c>
      <c r="I2" s="12" t="s">
        <v>283</v>
      </c>
      <c r="K2" t="str" cm="1">
        <f t="array" ref="K2">_xlfn.TEXTJOIN(", ",TRUE,UPPER(D2:E16))</f>
        <v>AZM_ND15, AZM_NM, ERY_ND15, ERY_NM, CLI_ND2, CLI_NM, OXA_ND1, OXA_NM, FOX_ND30, FOX_NM, TCY_ND30, TCY_NM, SXT_ND1_2, SXT_NM, VAN_ND30, VAN_NM, PEN_ND10, PEN_NM, LNZ_ND30, LNZ_NM, RIF_ND5, RIF_NM, CIP_ND5, CIP_NM, LVX_ND5, LVX_NM, GEN_ND10, GEN_NM, NIT_ND300, NIT_NM</v>
      </c>
    </row>
    <row r="3" spans="1:11" x14ac:dyDescent="0.25">
      <c r="A3" s="22" t="s">
        <v>145</v>
      </c>
      <c r="B3" s="2">
        <v>1</v>
      </c>
      <c r="C3" s="2" t="s">
        <v>207</v>
      </c>
      <c r="D3" s="2" t="s">
        <v>142</v>
      </c>
      <c r="E3" s="2" t="s">
        <v>143</v>
      </c>
      <c r="F3" s="8" t="s">
        <v>144</v>
      </c>
      <c r="G3" s="2" t="s">
        <v>213</v>
      </c>
      <c r="H3" s="2" t="s">
        <v>246</v>
      </c>
      <c r="I3" s="12" t="s">
        <v>292</v>
      </c>
      <c r="K3" t="s">
        <v>368</v>
      </c>
    </row>
    <row r="4" spans="1:11" x14ac:dyDescent="0.25">
      <c r="A4" s="34" t="s">
        <v>151</v>
      </c>
      <c r="B4" s="5">
        <v>1</v>
      </c>
      <c r="C4" s="2" t="s">
        <v>209</v>
      </c>
      <c r="D4" s="2" t="s">
        <v>148</v>
      </c>
      <c r="E4" s="2" t="s">
        <v>149</v>
      </c>
      <c r="F4" s="8" t="s">
        <v>150</v>
      </c>
      <c r="G4" s="2" t="s">
        <v>213</v>
      </c>
      <c r="H4" s="2" t="s">
        <v>213</v>
      </c>
      <c r="I4" s="12" t="s">
        <v>292</v>
      </c>
    </row>
    <row r="5" spans="1:11" x14ac:dyDescent="0.25">
      <c r="A5" s="24" t="s">
        <v>266</v>
      </c>
      <c r="B5" s="3">
        <v>1</v>
      </c>
      <c r="C5" s="2" t="s">
        <v>208</v>
      </c>
      <c r="D5" s="8" t="s">
        <v>155</v>
      </c>
      <c r="E5" s="3" t="s">
        <v>146</v>
      </c>
      <c r="F5" s="3" t="s">
        <v>147</v>
      </c>
      <c r="G5" s="2" t="s">
        <v>213</v>
      </c>
      <c r="H5" s="2" t="s">
        <v>213</v>
      </c>
      <c r="I5" s="12" t="s">
        <v>283</v>
      </c>
      <c r="J5" s="12" t="s">
        <v>319</v>
      </c>
    </row>
    <row r="6" spans="1:11" x14ac:dyDescent="0.25">
      <c r="A6" s="23" t="s">
        <v>47</v>
      </c>
      <c r="B6" s="7">
        <v>1</v>
      </c>
      <c r="C6" s="2" t="s">
        <v>193</v>
      </c>
      <c r="D6" s="3" t="s">
        <v>48</v>
      </c>
      <c r="E6" s="3" t="s">
        <v>49</v>
      </c>
      <c r="F6" s="3" t="s">
        <v>50</v>
      </c>
      <c r="G6" s="2" t="s">
        <v>213</v>
      </c>
      <c r="H6" s="2" t="s">
        <v>213</v>
      </c>
      <c r="I6" s="12" t="s">
        <v>293</v>
      </c>
    </row>
    <row r="7" spans="1:11" x14ac:dyDescent="0.25">
      <c r="A7" s="24" t="s">
        <v>67</v>
      </c>
      <c r="B7" s="3">
        <v>1</v>
      </c>
      <c r="C7" s="2" t="s">
        <v>181</v>
      </c>
      <c r="D7" s="6" t="s">
        <v>64</v>
      </c>
      <c r="E7" s="6" t="s">
        <v>65</v>
      </c>
      <c r="F7" s="6" t="s">
        <v>66</v>
      </c>
      <c r="G7" s="2" t="s">
        <v>213</v>
      </c>
      <c r="H7" s="2" t="s">
        <v>213</v>
      </c>
      <c r="I7" s="12" t="s">
        <v>283</v>
      </c>
    </row>
    <row r="8" spans="1:11" x14ac:dyDescent="0.25">
      <c r="A8" s="23" t="s">
        <v>115</v>
      </c>
      <c r="B8" s="7">
        <v>1</v>
      </c>
      <c r="C8" s="2" t="s">
        <v>176</v>
      </c>
      <c r="D8" s="7" t="s">
        <v>36</v>
      </c>
      <c r="E8" s="7" t="s">
        <v>37</v>
      </c>
      <c r="F8" s="7" t="s">
        <v>38</v>
      </c>
      <c r="G8" s="2" t="s">
        <v>213</v>
      </c>
      <c r="H8" s="2" t="s">
        <v>213</v>
      </c>
      <c r="I8" s="12" t="s">
        <v>283</v>
      </c>
    </row>
    <row r="9" spans="1:11" x14ac:dyDescent="0.25">
      <c r="A9" s="22" t="s">
        <v>323</v>
      </c>
      <c r="B9" s="2">
        <v>1</v>
      </c>
      <c r="C9" s="2" t="s">
        <v>205</v>
      </c>
      <c r="D9" s="2" t="s">
        <v>135</v>
      </c>
      <c r="E9" s="2" t="s">
        <v>136</v>
      </c>
      <c r="F9" s="2" t="s">
        <v>137</v>
      </c>
      <c r="G9" s="2" t="s">
        <v>213</v>
      </c>
      <c r="H9" s="2" t="s">
        <v>213</v>
      </c>
      <c r="I9" s="12" t="s">
        <v>293</v>
      </c>
    </row>
    <row r="10" spans="1:11" x14ac:dyDescent="0.25">
      <c r="A10" s="22" t="s">
        <v>124</v>
      </c>
      <c r="B10" s="2">
        <v>2</v>
      </c>
      <c r="C10" s="2" t="s">
        <v>202</v>
      </c>
      <c r="D10" s="8" t="s">
        <v>154</v>
      </c>
      <c r="E10" s="2" t="s">
        <v>125</v>
      </c>
      <c r="F10" s="2" t="s">
        <v>126</v>
      </c>
      <c r="G10" s="2" t="s">
        <v>213</v>
      </c>
      <c r="H10" s="2" t="s">
        <v>213</v>
      </c>
      <c r="I10" s="12" t="s">
        <v>283</v>
      </c>
    </row>
    <row r="11" spans="1:11" x14ac:dyDescent="0.25">
      <c r="A11" s="22" t="s">
        <v>130</v>
      </c>
      <c r="B11" s="2">
        <v>2</v>
      </c>
      <c r="C11" s="2" t="s">
        <v>204</v>
      </c>
      <c r="D11" s="2" t="s">
        <v>131</v>
      </c>
      <c r="E11" s="2" t="s">
        <v>132</v>
      </c>
      <c r="F11" s="2" t="s">
        <v>133</v>
      </c>
      <c r="G11" s="2" t="s">
        <v>213</v>
      </c>
      <c r="H11" s="2" t="s">
        <v>213</v>
      </c>
      <c r="I11" s="12" t="s">
        <v>283</v>
      </c>
    </row>
    <row r="12" spans="1:11" x14ac:dyDescent="0.25">
      <c r="A12" s="22" t="s">
        <v>116</v>
      </c>
      <c r="B12" s="2">
        <v>3</v>
      </c>
      <c r="C12" s="2" t="s">
        <v>200</v>
      </c>
      <c r="D12" s="2" t="s">
        <v>117</v>
      </c>
      <c r="E12" s="2" t="s">
        <v>118</v>
      </c>
      <c r="F12" s="2" t="s">
        <v>119</v>
      </c>
      <c r="G12" s="2" t="s">
        <v>213</v>
      </c>
      <c r="H12" s="2" t="s">
        <v>213</v>
      </c>
      <c r="I12" s="12" t="s">
        <v>283</v>
      </c>
    </row>
    <row r="13" spans="1:11" x14ac:dyDescent="0.25">
      <c r="A13" s="23" t="s">
        <v>19</v>
      </c>
      <c r="B13" s="7">
        <v>4</v>
      </c>
      <c r="C13" s="7" t="s">
        <v>174</v>
      </c>
      <c r="D13" s="2" t="s">
        <v>20</v>
      </c>
      <c r="E13" s="2" t="s">
        <v>21</v>
      </c>
      <c r="F13" s="2" t="s">
        <v>22</v>
      </c>
      <c r="G13" s="2" t="s">
        <v>213</v>
      </c>
      <c r="H13" s="2" t="s">
        <v>246</v>
      </c>
      <c r="I13" s="12" t="s">
        <v>283</v>
      </c>
    </row>
    <row r="14" spans="1:11" x14ac:dyDescent="0.25">
      <c r="A14" s="22" t="s">
        <v>27</v>
      </c>
      <c r="B14" s="2">
        <v>4</v>
      </c>
      <c r="C14" s="2" t="s">
        <v>175</v>
      </c>
      <c r="D14" s="2" t="s">
        <v>28</v>
      </c>
      <c r="E14" s="2" t="s">
        <v>29</v>
      </c>
      <c r="F14" s="2" t="s">
        <v>30</v>
      </c>
      <c r="G14" s="2" t="s">
        <v>213</v>
      </c>
      <c r="H14" s="2" t="s">
        <v>246</v>
      </c>
      <c r="I14" s="12" t="s">
        <v>283</v>
      </c>
    </row>
    <row r="15" spans="1:11" x14ac:dyDescent="0.25">
      <c r="A15" s="34" t="s">
        <v>23</v>
      </c>
      <c r="B15" s="5">
        <v>4</v>
      </c>
      <c r="C15" s="2" t="s">
        <v>186</v>
      </c>
      <c r="D15" s="6" t="s">
        <v>24</v>
      </c>
      <c r="E15" s="6" t="s">
        <v>25</v>
      </c>
      <c r="F15" s="6" t="s">
        <v>26</v>
      </c>
      <c r="G15" s="2" t="s">
        <v>213</v>
      </c>
      <c r="H15" s="2" t="s">
        <v>213</v>
      </c>
      <c r="I15" s="12" t="s">
        <v>283</v>
      </c>
    </row>
    <row r="16" spans="1:11" x14ac:dyDescent="0.25">
      <c r="A16" s="24" t="s">
        <v>101</v>
      </c>
      <c r="B16" s="3" t="s">
        <v>263</v>
      </c>
      <c r="C16" s="2" t="s">
        <v>199</v>
      </c>
      <c r="D16" s="2" t="s">
        <v>98</v>
      </c>
      <c r="E16" s="2" t="s">
        <v>99</v>
      </c>
      <c r="F16" s="2" t="s">
        <v>100</v>
      </c>
      <c r="G16" s="2" t="s">
        <v>244</v>
      </c>
      <c r="H16" s="2" t="s">
        <v>213</v>
      </c>
      <c r="I16" s="12" t="s">
        <v>290</v>
      </c>
    </row>
    <row r="18" spans="1:4" x14ac:dyDescent="0.25">
      <c r="A18" s="21" t="s">
        <v>285</v>
      </c>
    </row>
    <row r="19" spans="1:4" x14ac:dyDescent="0.25">
      <c r="D19" s="13"/>
    </row>
    <row r="20" spans="1:4" x14ac:dyDescent="0.25">
      <c r="A20" t="s">
        <v>320</v>
      </c>
    </row>
    <row r="21" spans="1:4" x14ac:dyDescent="0.25">
      <c r="A21" t="s">
        <v>321</v>
      </c>
    </row>
    <row r="22" spans="1:4" x14ac:dyDescent="0.25">
      <c r="A22" t="s">
        <v>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0"/>
  <sheetViews>
    <sheetView workbookViewId="0">
      <selection activeCell="C2" activeCellId="1" sqref="A2:A10 C2:E10"/>
    </sheetView>
  </sheetViews>
  <sheetFormatPr defaultRowHeight="15" x14ac:dyDescent="0.25"/>
  <cols>
    <col min="1" max="1" width="19.5703125" bestFit="1" customWidth="1"/>
    <col min="2" max="2" width="4.42578125" bestFit="1" customWidth="1"/>
    <col min="3" max="3" width="14" bestFit="1" customWidth="1"/>
    <col min="4" max="4" width="17.85546875" bestFit="1" customWidth="1"/>
    <col min="5" max="5" width="18.5703125" bestFit="1" customWidth="1"/>
    <col min="6" max="6" width="20.140625" bestFit="1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0" x14ac:dyDescent="0.25">
      <c r="A2" s="2" t="s">
        <v>1</v>
      </c>
      <c r="B2" s="2">
        <v>1</v>
      </c>
      <c r="C2" s="2" t="s">
        <v>158</v>
      </c>
      <c r="D2" s="2" t="s">
        <v>2</v>
      </c>
      <c r="E2" s="2" t="s">
        <v>3</v>
      </c>
      <c r="F2" s="2" t="s">
        <v>4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",TRUE,UPPER(D2:E10))</f>
        <v>AMP_ND10, AMP_NM, PEN_ND10, PEN_NM, VAN_ND30, VAN_NM, GEH_ND120, GEH_NM, LNZ_ND30, LNZ_NM, NIT_ND300, NIT_NM, CIP_ND5, CIP_NM, LVX_ND5, LVX_NM, TCY_ND30, TCY_NM</v>
      </c>
    </row>
    <row r="3" spans="1:10" x14ac:dyDescent="0.25">
      <c r="A3" s="2" t="s">
        <v>124</v>
      </c>
      <c r="B3" s="2">
        <v>1</v>
      </c>
      <c r="C3" s="2" t="s">
        <v>202</v>
      </c>
      <c r="D3" s="8" t="s">
        <v>154</v>
      </c>
      <c r="E3" s="2" t="s">
        <v>125</v>
      </c>
      <c r="F3" s="2" t="s">
        <v>126</v>
      </c>
      <c r="G3" s="2" t="s">
        <v>213</v>
      </c>
      <c r="H3" s="2" t="s">
        <v>213</v>
      </c>
      <c r="I3" s="12" t="s">
        <v>283</v>
      </c>
      <c r="J3" t="s">
        <v>369</v>
      </c>
    </row>
    <row r="4" spans="1:10" x14ac:dyDescent="0.25">
      <c r="A4" s="2" t="s">
        <v>134</v>
      </c>
      <c r="B4" s="2">
        <v>2</v>
      </c>
      <c r="C4" s="2" t="s">
        <v>205</v>
      </c>
      <c r="D4" s="2" t="s">
        <v>135</v>
      </c>
      <c r="E4" s="2" t="s">
        <v>136</v>
      </c>
      <c r="F4" s="2" t="s">
        <v>137</v>
      </c>
      <c r="G4" s="2" t="s">
        <v>213</v>
      </c>
      <c r="H4" s="2" t="s">
        <v>213</v>
      </c>
      <c r="I4" s="12" t="s">
        <v>283</v>
      </c>
    </row>
    <row r="5" spans="1:10" x14ac:dyDescent="0.25">
      <c r="A5" s="2" t="s">
        <v>141</v>
      </c>
      <c r="B5" s="2">
        <v>2</v>
      </c>
      <c r="C5" s="2" t="s">
        <v>206</v>
      </c>
      <c r="D5" s="2" t="s">
        <v>138</v>
      </c>
      <c r="E5" s="2" t="s">
        <v>139</v>
      </c>
      <c r="F5" s="8" t="s">
        <v>140</v>
      </c>
      <c r="G5" s="2" t="s">
        <v>213</v>
      </c>
      <c r="H5" s="2" t="s">
        <v>213</v>
      </c>
      <c r="I5" s="12" t="s">
        <v>283</v>
      </c>
    </row>
    <row r="6" spans="1:10" x14ac:dyDescent="0.25">
      <c r="A6" s="2" t="s">
        <v>130</v>
      </c>
      <c r="B6" s="2">
        <v>2</v>
      </c>
      <c r="C6" s="2" t="s">
        <v>204</v>
      </c>
      <c r="D6" s="2" t="s">
        <v>131</v>
      </c>
      <c r="E6" s="2" t="s">
        <v>132</v>
      </c>
      <c r="F6" s="2" t="s">
        <v>133</v>
      </c>
      <c r="G6" s="2" t="s">
        <v>213</v>
      </c>
      <c r="H6" s="2" t="s">
        <v>213</v>
      </c>
      <c r="I6" s="12" t="s">
        <v>283</v>
      </c>
    </row>
    <row r="7" spans="1:10" x14ac:dyDescent="0.25">
      <c r="A7" s="3" t="s">
        <v>101</v>
      </c>
      <c r="B7" s="3" t="s">
        <v>263</v>
      </c>
      <c r="C7" s="2" t="s">
        <v>199</v>
      </c>
      <c r="D7" s="2" t="s">
        <v>98</v>
      </c>
      <c r="E7" s="2" t="s">
        <v>99</v>
      </c>
      <c r="F7" s="2" t="s">
        <v>100</v>
      </c>
      <c r="G7" s="2" t="s">
        <v>244</v>
      </c>
      <c r="H7" s="2" t="s">
        <v>213</v>
      </c>
      <c r="I7" s="12" t="s">
        <v>294</v>
      </c>
    </row>
    <row r="8" spans="1:10" x14ac:dyDescent="0.25">
      <c r="A8" s="7" t="s">
        <v>19</v>
      </c>
      <c r="B8" s="7" t="s">
        <v>264</v>
      </c>
      <c r="C8" s="7" t="s">
        <v>174</v>
      </c>
      <c r="D8" s="2" t="s">
        <v>20</v>
      </c>
      <c r="E8" s="2" t="s">
        <v>21</v>
      </c>
      <c r="F8" s="2" t="s">
        <v>22</v>
      </c>
      <c r="G8" s="2" t="s">
        <v>244</v>
      </c>
      <c r="H8" s="2" t="s">
        <v>213</v>
      </c>
      <c r="I8" s="12" t="s">
        <v>283</v>
      </c>
    </row>
    <row r="9" spans="1:10" x14ac:dyDescent="0.25">
      <c r="A9" s="2" t="s">
        <v>27</v>
      </c>
      <c r="B9" s="7" t="s">
        <v>264</v>
      </c>
      <c r="C9" s="2" t="s">
        <v>175</v>
      </c>
      <c r="D9" s="2" t="s">
        <v>28</v>
      </c>
      <c r="E9" s="2" t="s">
        <v>29</v>
      </c>
      <c r="F9" s="2" t="s">
        <v>30</v>
      </c>
      <c r="G9" s="2" t="s">
        <v>244</v>
      </c>
      <c r="H9" s="2" t="s">
        <v>213</v>
      </c>
      <c r="I9" s="12" t="s">
        <v>283</v>
      </c>
    </row>
    <row r="10" spans="1:10" x14ac:dyDescent="0.25">
      <c r="A10" s="3" t="s">
        <v>67</v>
      </c>
      <c r="B10" s="2" t="s">
        <v>265</v>
      </c>
      <c r="C10" s="2" t="s">
        <v>181</v>
      </c>
      <c r="D10" s="6" t="s">
        <v>64</v>
      </c>
      <c r="E10" s="6" t="s">
        <v>65</v>
      </c>
      <c r="F10" s="6" t="s">
        <v>66</v>
      </c>
      <c r="G10" s="2" t="s">
        <v>244</v>
      </c>
      <c r="H10" s="2" t="s">
        <v>213</v>
      </c>
      <c r="I10" s="12" t="s">
        <v>283</v>
      </c>
    </row>
    <row r="11" spans="1:10" x14ac:dyDescent="0.25">
      <c r="A11" s="13"/>
    </row>
    <row r="12" spans="1:10" x14ac:dyDescent="0.25">
      <c r="A12" s="13"/>
    </row>
    <row r="13" spans="1:10" x14ac:dyDescent="0.25">
      <c r="A13" s="21" t="s">
        <v>285</v>
      </c>
    </row>
    <row r="20" spans="1:1" x14ac:dyDescent="0.25">
      <c r="A20" t="s">
        <v>270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topLeftCell="A4" workbookViewId="0">
      <selection activeCell="F28" sqref="F28"/>
    </sheetView>
  </sheetViews>
  <sheetFormatPr defaultRowHeight="15" x14ac:dyDescent="0.25"/>
  <cols>
    <col min="1" max="1" width="30.5703125" bestFit="1" customWidth="1"/>
    <col min="2" max="2" width="6.42578125" customWidth="1"/>
    <col min="3" max="3" width="14" bestFit="1" customWidth="1"/>
    <col min="4" max="4" width="17.85546875" bestFit="1" customWidth="1"/>
    <col min="5" max="5" width="18.5703125" bestFit="1" customWidth="1"/>
    <col min="6" max="6" width="20.140625" bestFit="1" customWidth="1"/>
    <col min="8" max="8" width="11.140625" bestFit="1" customWidth="1"/>
    <col min="9" max="9" width="14.85546875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0" x14ac:dyDescent="0.25">
      <c r="A2" s="22" t="s">
        <v>1</v>
      </c>
      <c r="B2" s="2">
        <v>1</v>
      </c>
      <c r="C2" s="2" t="s">
        <v>158</v>
      </c>
      <c r="D2" s="2" t="s">
        <v>2</v>
      </c>
      <c r="E2" s="2" t="s">
        <v>3</v>
      </c>
      <c r="F2" s="2" t="s">
        <v>4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",TRUE,UPPER(D2:E19))</f>
        <v>AMP_ND10, AMP_NM, CTX_ND30, CTX_NM, CRO_ND30, CRO_NM, CAZ_ND30, CAZ_NM, SAM_ND10, SAM_NM, AMC_ND20, AMC_NM, CIP_ND5, CIP_NM, LVX_ND5, LVX_NM, SXT_ND1_2, SXT_NM, MEM_ND10, MEM_NM, ETP_ND10, ETP_NM, IPM_ND10, IPM_NM, AZM_ND15, AZM_NM, ATM_ND30, ATM_NM, CEC_ND30, CEC_NM, CXA_ND30, CXA_NM, RIF_ND5, RIF_NM, TCY_ND30, TCY_NM</v>
      </c>
    </row>
    <row r="3" spans="1:10" x14ac:dyDescent="0.25">
      <c r="A3" s="24" t="s">
        <v>12</v>
      </c>
      <c r="B3" s="3">
        <v>2</v>
      </c>
      <c r="C3" s="2" t="s">
        <v>172</v>
      </c>
      <c r="D3" s="6" t="s">
        <v>13</v>
      </c>
      <c r="E3" s="6" t="s">
        <v>14</v>
      </c>
      <c r="F3" s="6" t="s">
        <v>15</v>
      </c>
      <c r="G3" s="2" t="s">
        <v>213</v>
      </c>
      <c r="H3" s="2" t="s">
        <v>246</v>
      </c>
      <c r="I3" s="12" t="s">
        <v>283</v>
      </c>
      <c r="J3" t="s">
        <v>370</v>
      </c>
    </row>
    <row r="4" spans="1:10" x14ac:dyDescent="0.25">
      <c r="A4" s="22" t="s">
        <v>16</v>
      </c>
      <c r="B4" s="2">
        <v>2</v>
      </c>
      <c r="C4" s="2" t="s">
        <v>173</v>
      </c>
      <c r="D4" s="2" t="s">
        <v>114</v>
      </c>
      <c r="E4" s="2" t="s">
        <v>17</v>
      </c>
      <c r="F4" s="2" t="s">
        <v>18</v>
      </c>
      <c r="G4" s="2" t="s">
        <v>213</v>
      </c>
      <c r="H4" s="2" t="s">
        <v>246</v>
      </c>
      <c r="I4" s="12" t="s">
        <v>283</v>
      </c>
    </row>
    <row r="5" spans="1:10" x14ac:dyDescent="0.25">
      <c r="A5" s="2" t="s">
        <v>88</v>
      </c>
      <c r="B5" s="2">
        <v>2</v>
      </c>
      <c r="C5" s="2" t="s">
        <v>185</v>
      </c>
      <c r="D5" s="6" t="s">
        <v>89</v>
      </c>
      <c r="E5" s="6" t="s">
        <v>90</v>
      </c>
      <c r="F5" s="6" t="s">
        <v>91</v>
      </c>
      <c r="G5" s="2" t="s">
        <v>213</v>
      </c>
      <c r="H5" s="2" t="s">
        <v>246</v>
      </c>
      <c r="I5" s="12" t="s">
        <v>283</v>
      </c>
    </row>
    <row r="6" spans="1:10" x14ac:dyDescent="0.25">
      <c r="A6" s="22" t="s">
        <v>109</v>
      </c>
      <c r="B6" s="2">
        <v>2</v>
      </c>
      <c r="C6" s="2" t="s">
        <v>183</v>
      </c>
      <c r="D6" s="2" t="s">
        <v>106</v>
      </c>
      <c r="E6" s="2" t="s">
        <v>107</v>
      </c>
      <c r="F6" s="2" t="s">
        <v>108</v>
      </c>
      <c r="G6" s="2" t="s">
        <v>213</v>
      </c>
      <c r="H6" s="2" t="s">
        <v>213</v>
      </c>
      <c r="I6" s="12" t="s">
        <v>283</v>
      </c>
    </row>
    <row r="7" spans="1:10" x14ac:dyDescent="0.25">
      <c r="A7" s="22" t="s">
        <v>217</v>
      </c>
      <c r="B7" s="2">
        <v>2</v>
      </c>
      <c r="C7" s="2" t="s">
        <v>191</v>
      </c>
      <c r="D7" s="2" t="s">
        <v>5</v>
      </c>
      <c r="E7" s="2" t="s">
        <v>6</v>
      </c>
      <c r="F7" s="2" t="s">
        <v>7</v>
      </c>
      <c r="G7" s="2" t="s">
        <v>213</v>
      </c>
      <c r="H7" s="2" t="s">
        <v>213</v>
      </c>
      <c r="I7" s="12" t="s">
        <v>283</v>
      </c>
    </row>
    <row r="8" spans="1:10" x14ac:dyDescent="0.25">
      <c r="A8" s="22" t="s">
        <v>19</v>
      </c>
      <c r="B8" s="2">
        <v>2</v>
      </c>
      <c r="C8" s="2" t="s">
        <v>174</v>
      </c>
      <c r="D8" s="2" t="s">
        <v>20</v>
      </c>
      <c r="E8" s="2" t="s">
        <v>21</v>
      </c>
      <c r="F8" s="2" t="s">
        <v>22</v>
      </c>
      <c r="G8" s="2" t="s">
        <v>213</v>
      </c>
      <c r="H8" s="2" t="s">
        <v>246</v>
      </c>
      <c r="I8" s="12" t="s">
        <v>283</v>
      </c>
    </row>
    <row r="9" spans="1:10" x14ac:dyDescent="0.25">
      <c r="A9" s="22" t="s">
        <v>27</v>
      </c>
      <c r="B9" s="2">
        <v>2</v>
      </c>
      <c r="C9" s="2" t="s">
        <v>175</v>
      </c>
      <c r="D9" s="2" t="s">
        <v>28</v>
      </c>
      <c r="E9" s="2" t="s">
        <v>29</v>
      </c>
      <c r="F9" s="2" t="s">
        <v>30</v>
      </c>
      <c r="G9" s="2" t="s">
        <v>213</v>
      </c>
      <c r="H9" s="2" t="s">
        <v>246</v>
      </c>
      <c r="I9" s="12" t="s">
        <v>283</v>
      </c>
    </row>
    <row r="10" spans="1:10" x14ac:dyDescent="0.25">
      <c r="A10" s="23" t="s">
        <v>115</v>
      </c>
      <c r="B10" s="6">
        <v>2</v>
      </c>
      <c r="C10" s="2" t="s">
        <v>176</v>
      </c>
      <c r="D10" s="7" t="s">
        <v>36</v>
      </c>
      <c r="E10" s="7" t="s">
        <v>37</v>
      </c>
      <c r="F10" s="7" t="s">
        <v>38</v>
      </c>
      <c r="G10" s="2" t="s">
        <v>213</v>
      </c>
      <c r="H10" s="2" t="s">
        <v>213</v>
      </c>
      <c r="I10" s="12" t="s">
        <v>283</v>
      </c>
    </row>
    <row r="11" spans="1:10" x14ac:dyDescent="0.25">
      <c r="A11" s="22" t="s">
        <v>60</v>
      </c>
      <c r="B11" s="2">
        <v>3</v>
      </c>
      <c r="C11" s="2" t="s">
        <v>179</v>
      </c>
      <c r="D11" s="2" t="s">
        <v>61</v>
      </c>
      <c r="E11" s="2" t="s">
        <v>62</v>
      </c>
      <c r="F11" s="2" t="s">
        <v>63</v>
      </c>
      <c r="G11" s="2" t="s">
        <v>213</v>
      </c>
      <c r="H11" s="2" t="s">
        <v>213</v>
      </c>
      <c r="I11" s="12" t="s">
        <v>283</v>
      </c>
    </row>
    <row r="12" spans="1:10" x14ac:dyDescent="0.25">
      <c r="A12" s="2" t="s">
        <v>52</v>
      </c>
      <c r="B12" s="2">
        <v>4</v>
      </c>
      <c r="C12" s="2" t="s">
        <v>180</v>
      </c>
      <c r="D12" s="2" t="s">
        <v>53</v>
      </c>
      <c r="E12" s="2" t="s">
        <v>54</v>
      </c>
      <c r="F12" s="2" t="s">
        <v>55</v>
      </c>
      <c r="G12" s="2" t="s">
        <v>213</v>
      </c>
      <c r="H12" s="2" t="s">
        <v>246</v>
      </c>
      <c r="I12" s="12" t="s">
        <v>283</v>
      </c>
    </row>
    <row r="13" spans="1:10" x14ac:dyDescent="0.25">
      <c r="A13" s="5" t="s">
        <v>56</v>
      </c>
      <c r="B13" s="5">
        <v>4</v>
      </c>
      <c r="C13" s="2" t="s">
        <v>178</v>
      </c>
      <c r="D13" s="6" t="s">
        <v>57</v>
      </c>
      <c r="E13" s="6" t="s">
        <v>58</v>
      </c>
      <c r="F13" s="6" t="s">
        <v>59</v>
      </c>
      <c r="G13" s="2" t="s">
        <v>213</v>
      </c>
      <c r="H13" s="2" t="s">
        <v>246</v>
      </c>
      <c r="I13" s="12" t="s">
        <v>283</v>
      </c>
    </row>
    <row r="14" spans="1:10" x14ac:dyDescent="0.25">
      <c r="A14" s="23" t="s">
        <v>102</v>
      </c>
      <c r="B14" s="6">
        <v>4</v>
      </c>
      <c r="C14" s="7" t="s">
        <v>177</v>
      </c>
      <c r="D14" s="2" t="s">
        <v>103</v>
      </c>
      <c r="E14" s="2" t="s">
        <v>104</v>
      </c>
      <c r="F14" s="2" t="s">
        <v>105</v>
      </c>
      <c r="G14" s="2" t="s">
        <v>213</v>
      </c>
      <c r="H14" s="2" t="s">
        <v>213</v>
      </c>
      <c r="I14" s="12" t="s">
        <v>283</v>
      </c>
    </row>
    <row r="15" spans="1:10" x14ac:dyDescent="0.25">
      <c r="A15" s="24" t="s">
        <v>87</v>
      </c>
      <c r="B15" s="3">
        <v>4</v>
      </c>
      <c r="C15" s="2" t="s">
        <v>196</v>
      </c>
      <c r="D15" s="6" t="s">
        <v>84</v>
      </c>
      <c r="E15" s="10" t="s">
        <v>85</v>
      </c>
      <c r="F15" s="10" t="s">
        <v>86</v>
      </c>
      <c r="G15" s="2" t="s">
        <v>213</v>
      </c>
      <c r="H15" s="2" t="s">
        <v>213</v>
      </c>
      <c r="I15" s="12" t="s">
        <v>283</v>
      </c>
    </row>
    <row r="16" spans="1:10" x14ac:dyDescent="0.25">
      <c r="A16" s="3" t="s">
        <v>249</v>
      </c>
      <c r="B16" s="3">
        <v>4</v>
      </c>
      <c r="C16" s="2" t="s">
        <v>250</v>
      </c>
      <c r="D16" s="6" t="s">
        <v>251</v>
      </c>
      <c r="E16" s="2" t="s">
        <v>252</v>
      </c>
      <c r="F16" s="2" t="s">
        <v>253</v>
      </c>
      <c r="G16" s="2" t="s">
        <v>213</v>
      </c>
      <c r="H16" s="2" t="s">
        <v>213</v>
      </c>
      <c r="I16" s="12" t="s">
        <v>283</v>
      </c>
    </row>
    <row r="17" spans="1:9" x14ac:dyDescent="0.25">
      <c r="A17" s="23" t="s">
        <v>51</v>
      </c>
      <c r="B17" s="6">
        <v>4</v>
      </c>
      <c r="C17" s="2" t="s">
        <v>226</v>
      </c>
      <c r="D17" s="3" t="s">
        <v>223</v>
      </c>
      <c r="E17" s="3" t="s">
        <v>224</v>
      </c>
      <c r="F17" s="9" t="s">
        <v>225</v>
      </c>
      <c r="G17" s="2" t="s">
        <v>213</v>
      </c>
      <c r="H17" s="2" t="s">
        <v>213</v>
      </c>
      <c r="I17" s="12" t="s">
        <v>283</v>
      </c>
    </row>
    <row r="18" spans="1:9" x14ac:dyDescent="0.25">
      <c r="A18" s="22" t="s">
        <v>116</v>
      </c>
      <c r="B18" s="2">
        <v>4</v>
      </c>
      <c r="C18" s="2" t="s">
        <v>200</v>
      </c>
      <c r="D18" s="2" t="s">
        <v>117</v>
      </c>
      <c r="E18" s="2" t="s">
        <v>118</v>
      </c>
      <c r="F18" s="2" t="s">
        <v>119</v>
      </c>
      <c r="G18" s="2" t="s">
        <v>213</v>
      </c>
      <c r="H18" s="2" t="s">
        <v>213</v>
      </c>
      <c r="I18" s="12" t="s">
        <v>283</v>
      </c>
    </row>
    <row r="19" spans="1:9" x14ac:dyDescent="0.25">
      <c r="A19" s="24" t="s">
        <v>67</v>
      </c>
      <c r="B19" s="3">
        <v>4</v>
      </c>
      <c r="C19" s="2" t="s">
        <v>181</v>
      </c>
      <c r="D19" s="6" t="s">
        <v>64</v>
      </c>
      <c r="E19" s="6" t="s">
        <v>65</v>
      </c>
      <c r="F19" s="6" t="s">
        <v>66</v>
      </c>
      <c r="G19" s="2" t="s">
        <v>213</v>
      </c>
      <c r="H19" s="2" t="s">
        <v>213</v>
      </c>
      <c r="I19" s="12" t="s">
        <v>283</v>
      </c>
    </row>
    <row r="21" spans="1:9" x14ac:dyDescent="0.25">
      <c r="A21" s="16" t="s">
        <v>285</v>
      </c>
    </row>
    <row r="23" spans="1:9" x14ac:dyDescent="0.25">
      <c r="A23" t="s">
        <v>271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8"/>
  <sheetViews>
    <sheetView workbookViewId="0">
      <selection activeCell="C2" activeCellId="1" sqref="A2:A6 C2:E6"/>
    </sheetView>
  </sheetViews>
  <sheetFormatPr defaultRowHeight="15" x14ac:dyDescent="0.25"/>
  <cols>
    <col min="1" max="1" width="18.140625" customWidth="1"/>
    <col min="2" max="2" width="4.42578125" bestFit="1" customWidth="1"/>
    <col min="3" max="3" width="14" bestFit="1" customWidth="1"/>
    <col min="4" max="4" width="17.85546875" bestFit="1" customWidth="1"/>
    <col min="5" max="5" width="18.5703125" bestFit="1" customWidth="1"/>
    <col min="6" max="6" width="20.140625" bestFit="1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0" x14ac:dyDescent="0.25">
      <c r="A2" s="7" t="s">
        <v>102</v>
      </c>
      <c r="B2" s="7">
        <v>1</v>
      </c>
      <c r="C2" s="7" t="s">
        <v>177</v>
      </c>
      <c r="D2" s="2" t="s">
        <v>103</v>
      </c>
      <c r="E2" s="2" t="s">
        <v>104</v>
      </c>
      <c r="F2" s="2" t="s">
        <v>105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",TRUE,UPPER(D2:E6))</f>
        <v>AZM_ND15, AZM_NM, CRO_ND30, CRO_NM, CFM_ND5, CFM_NM, CIP_ND5, CIP_NM, TCY_ND30, TCY_NM</v>
      </c>
    </row>
    <row r="3" spans="1:10" x14ac:dyDescent="0.25">
      <c r="A3" s="3" t="s">
        <v>16</v>
      </c>
      <c r="B3" s="3">
        <v>1</v>
      </c>
      <c r="C3" s="5" t="s">
        <v>173</v>
      </c>
      <c r="D3" s="2" t="s">
        <v>114</v>
      </c>
      <c r="E3" s="2" t="s">
        <v>17</v>
      </c>
      <c r="F3" s="2" t="s">
        <v>18</v>
      </c>
      <c r="G3" s="2" t="s">
        <v>213</v>
      </c>
      <c r="H3" s="2" t="s">
        <v>213</v>
      </c>
      <c r="I3" s="12" t="s">
        <v>283</v>
      </c>
      <c r="J3" t="s">
        <v>371</v>
      </c>
    </row>
    <row r="4" spans="1:10" x14ac:dyDescent="0.25">
      <c r="A4" s="3" t="s">
        <v>120</v>
      </c>
      <c r="B4" s="3">
        <v>1</v>
      </c>
      <c r="C4" s="3" t="s">
        <v>201</v>
      </c>
      <c r="D4" s="2" t="s">
        <v>121</v>
      </c>
      <c r="E4" s="2" t="s">
        <v>122</v>
      </c>
      <c r="F4" s="2" t="s">
        <v>123</v>
      </c>
      <c r="G4" s="2" t="s">
        <v>213</v>
      </c>
      <c r="H4" s="2" t="s">
        <v>213</v>
      </c>
      <c r="I4" s="12" t="s">
        <v>283</v>
      </c>
    </row>
    <row r="5" spans="1:10" x14ac:dyDescent="0.25">
      <c r="A5" s="5" t="s">
        <v>19</v>
      </c>
      <c r="B5" s="5">
        <v>1</v>
      </c>
      <c r="C5" s="5" t="s">
        <v>174</v>
      </c>
      <c r="D5" s="2" t="s">
        <v>20</v>
      </c>
      <c r="E5" s="2" t="s">
        <v>21</v>
      </c>
      <c r="F5" s="2" t="s">
        <v>22</v>
      </c>
      <c r="G5" s="2" t="s">
        <v>213</v>
      </c>
      <c r="H5" s="2" t="s">
        <v>213</v>
      </c>
      <c r="I5" s="12" t="s">
        <v>283</v>
      </c>
    </row>
    <row r="6" spans="1:10" x14ac:dyDescent="0.25">
      <c r="A6" s="3" t="s">
        <v>67</v>
      </c>
      <c r="B6" s="3">
        <v>1</v>
      </c>
      <c r="C6" s="2" t="s">
        <v>181</v>
      </c>
      <c r="D6" s="6" t="s">
        <v>64</v>
      </c>
      <c r="E6" s="6" t="s">
        <v>65</v>
      </c>
      <c r="F6" s="6" t="s">
        <v>66</v>
      </c>
      <c r="G6" s="2" t="s">
        <v>213</v>
      </c>
      <c r="H6" s="2" t="s">
        <v>213</v>
      </c>
      <c r="I6" s="12" t="s">
        <v>283</v>
      </c>
    </row>
    <row r="8" spans="1:10" x14ac:dyDescent="0.25">
      <c r="A8" s="16" t="s">
        <v>285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91"/>
  <sheetViews>
    <sheetView workbookViewId="0">
      <selection activeCell="C2" activeCellId="1" sqref="A2:A19 C2:E19"/>
    </sheetView>
  </sheetViews>
  <sheetFormatPr defaultRowHeight="15" x14ac:dyDescent="0.25"/>
  <cols>
    <col min="1" max="1" width="30.5703125" bestFit="1" customWidth="1"/>
    <col min="2" max="2" width="7.42578125" customWidth="1"/>
    <col min="3" max="3" width="14" bestFit="1" customWidth="1"/>
    <col min="4" max="4" width="17.85546875" bestFit="1" customWidth="1"/>
    <col min="5" max="5" width="18.5703125" bestFit="1" customWidth="1"/>
    <col min="6" max="6" width="20.140625" bestFit="1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0" x14ac:dyDescent="0.25">
      <c r="A2" s="22" t="s">
        <v>272</v>
      </c>
      <c r="B2" s="2">
        <v>1</v>
      </c>
      <c r="C2" s="2" t="s">
        <v>207</v>
      </c>
      <c r="D2" s="2" t="s">
        <v>142</v>
      </c>
      <c r="E2" s="2" t="s">
        <v>143</v>
      </c>
      <c r="F2" s="8" t="s">
        <v>144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",TRUE,UPPER(D2:E19))</f>
        <v>ERY_ND15, ERY_NM, PEN_ND10, PEN_NM, SXT_ND1_2, SXT_NM, CTX_ND30, CTX_NM, CRO_ND30, CRO_NM, MEM_ND10, MEM_NM, CLI_ND2, CLI_NM, TCY_ND30, TCY_NM, LVX_ND5, LVX_NM, MFX_ND5, MFX_NM, VAN_ND30, VAN_NM, AMC_ND20, AMC_NM, FEP_ND30, FEP_NM, ETP_ND10, ETP_NM, IPM_ND10, IPM_NM, LNZ_ND30, LNZ_NM, CXA_ND30, CXA_NM, RIF_ND5, RIF_NM</v>
      </c>
    </row>
    <row r="3" spans="1:10" x14ac:dyDescent="0.25">
      <c r="A3" s="22" t="s">
        <v>124</v>
      </c>
      <c r="B3" s="2">
        <v>1</v>
      </c>
      <c r="C3" s="2" t="s">
        <v>202</v>
      </c>
      <c r="D3" s="8" t="s">
        <v>154</v>
      </c>
      <c r="E3" s="2" t="s">
        <v>125</v>
      </c>
      <c r="F3" s="2" t="s">
        <v>126</v>
      </c>
      <c r="G3" s="2" t="s">
        <v>213</v>
      </c>
      <c r="H3" s="2" t="s">
        <v>213</v>
      </c>
      <c r="I3" s="12" t="s">
        <v>283</v>
      </c>
      <c r="J3" t="s">
        <v>372</v>
      </c>
    </row>
    <row r="4" spans="1:10" x14ac:dyDescent="0.25">
      <c r="A4" s="37" t="s">
        <v>115</v>
      </c>
      <c r="B4" s="7">
        <v>1</v>
      </c>
      <c r="C4" s="2" t="s">
        <v>176</v>
      </c>
      <c r="D4" s="7" t="s">
        <v>36</v>
      </c>
      <c r="E4" s="7" t="s">
        <v>37</v>
      </c>
      <c r="F4" s="7" t="s">
        <v>38</v>
      </c>
      <c r="G4" s="2" t="s">
        <v>213</v>
      </c>
      <c r="H4" s="2" t="s">
        <v>213</v>
      </c>
      <c r="I4" s="12" t="s">
        <v>283</v>
      </c>
    </row>
    <row r="5" spans="1:10" x14ac:dyDescent="0.25">
      <c r="A5" s="24" t="s">
        <v>12</v>
      </c>
      <c r="B5" s="3">
        <v>1</v>
      </c>
      <c r="C5" s="2" t="s">
        <v>172</v>
      </c>
      <c r="D5" s="6" t="s">
        <v>13</v>
      </c>
      <c r="E5" s="6" t="s">
        <v>14</v>
      </c>
      <c r="F5" s="6" t="s">
        <v>15</v>
      </c>
      <c r="G5" s="2" t="s">
        <v>213</v>
      </c>
      <c r="H5" s="2" t="s">
        <v>213</v>
      </c>
      <c r="I5" s="12" t="s">
        <v>283</v>
      </c>
    </row>
    <row r="6" spans="1:10" x14ac:dyDescent="0.25">
      <c r="A6" s="34" t="s">
        <v>16</v>
      </c>
      <c r="B6" s="5">
        <v>1</v>
      </c>
      <c r="C6" s="2" t="s">
        <v>173</v>
      </c>
      <c r="D6" s="2" t="s">
        <v>114</v>
      </c>
      <c r="E6" s="2" t="s">
        <v>17</v>
      </c>
      <c r="F6" s="2" t="s">
        <v>18</v>
      </c>
      <c r="G6" s="2" t="s">
        <v>213</v>
      </c>
      <c r="H6" s="2" t="s">
        <v>213</v>
      </c>
      <c r="I6" s="12" t="s">
        <v>283</v>
      </c>
    </row>
    <row r="7" spans="1:10" x14ac:dyDescent="0.25">
      <c r="A7" s="22" t="s">
        <v>60</v>
      </c>
      <c r="B7" s="2">
        <v>2</v>
      </c>
      <c r="C7" s="2" t="s">
        <v>179</v>
      </c>
      <c r="D7" s="2" t="s">
        <v>61</v>
      </c>
      <c r="E7" s="2" t="s">
        <v>62</v>
      </c>
      <c r="F7" s="2" t="s">
        <v>63</v>
      </c>
      <c r="G7" s="2" t="s">
        <v>213</v>
      </c>
      <c r="H7" s="2" t="s">
        <v>213</v>
      </c>
      <c r="I7" s="12" t="s">
        <v>283</v>
      </c>
    </row>
    <row r="8" spans="1:10" x14ac:dyDescent="0.25">
      <c r="A8" s="34" t="s">
        <v>273</v>
      </c>
      <c r="B8" s="5">
        <v>2</v>
      </c>
      <c r="C8" s="2" t="s">
        <v>209</v>
      </c>
      <c r="D8" s="2" t="s">
        <v>148</v>
      </c>
      <c r="E8" s="2" t="s">
        <v>149</v>
      </c>
      <c r="F8" s="8" t="s">
        <v>150</v>
      </c>
      <c r="G8" s="2" t="s">
        <v>213</v>
      </c>
      <c r="H8" s="2" t="s">
        <v>213</v>
      </c>
      <c r="I8" s="12" t="s">
        <v>283</v>
      </c>
    </row>
    <row r="9" spans="1:10" x14ac:dyDescent="0.25">
      <c r="A9" s="24" t="s">
        <v>67</v>
      </c>
      <c r="B9" s="3">
        <v>2</v>
      </c>
      <c r="C9" s="2" t="s">
        <v>181</v>
      </c>
      <c r="D9" s="6" t="s">
        <v>64</v>
      </c>
      <c r="E9" s="6" t="s">
        <v>65</v>
      </c>
      <c r="F9" s="6" t="s">
        <v>66</v>
      </c>
      <c r="G9" s="2" t="s">
        <v>213</v>
      </c>
      <c r="H9" s="2" t="s">
        <v>213</v>
      </c>
      <c r="I9" s="12" t="s">
        <v>283</v>
      </c>
    </row>
    <row r="10" spans="1:10" x14ac:dyDescent="0.25">
      <c r="A10" s="22" t="s">
        <v>27</v>
      </c>
      <c r="B10" s="2">
        <v>2</v>
      </c>
      <c r="C10" s="2" t="s">
        <v>175</v>
      </c>
      <c r="D10" s="2" t="s">
        <v>28</v>
      </c>
      <c r="E10" s="2" t="s">
        <v>29</v>
      </c>
      <c r="F10" s="2" t="s">
        <v>30</v>
      </c>
      <c r="G10" s="2" t="s">
        <v>213</v>
      </c>
      <c r="H10" s="2" t="s">
        <v>213</v>
      </c>
      <c r="I10" s="12" t="s">
        <v>283</v>
      </c>
    </row>
    <row r="11" spans="1:10" ht="12.75" customHeight="1" x14ac:dyDescent="0.25">
      <c r="A11" s="36" t="s">
        <v>219</v>
      </c>
      <c r="B11" s="12">
        <v>2</v>
      </c>
      <c r="C11" s="12" t="s">
        <v>218</v>
      </c>
      <c r="D11" s="12" t="s">
        <v>220</v>
      </c>
      <c r="E11" s="12" t="s">
        <v>221</v>
      </c>
      <c r="F11" s="12" t="s">
        <v>222</v>
      </c>
      <c r="G11" s="2" t="s">
        <v>213</v>
      </c>
      <c r="H11" s="2" t="s">
        <v>246</v>
      </c>
      <c r="I11" s="12" t="s">
        <v>283</v>
      </c>
    </row>
    <row r="12" spans="1:10" x14ac:dyDescent="0.25">
      <c r="A12" s="22" t="s">
        <v>134</v>
      </c>
      <c r="B12" s="2">
        <v>2</v>
      </c>
      <c r="C12" s="2" t="s">
        <v>205</v>
      </c>
      <c r="D12" s="2" t="s">
        <v>135</v>
      </c>
      <c r="E12" s="2" t="s">
        <v>136</v>
      </c>
      <c r="F12" s="2" t="s">
        <v>137</v>
      </c>
      <c r="G12" s="2" t="s">
        <v>213</v>
      </c>
      <c r="H12" s="2" t="s">
        <v>213</v>
      </c>
      <c r="I12" s="12" t="s">
        <v>283</v>
      </c>
    </row>
    <row r="13" spans="1:10" x14ac:dyDescent="0.25">
      <c r="A13" s="22" t="s">
        <v>217</v>
      </c>
      <c r="B13" s="2">
        <v>4</v>
      </c>
      <c r="C13" s="2" t="s">
        <v>191</v>
      </c>
      <c r="D13" s="2" t="s">
        <v>5</v>
      </c>
      <c r="E13" s="2" t="s">
        <v>6</v>
      </c>
      <c r="F13" s="2" t="s">
        <v>7</v>
      </c>
      <c r="G13" s="2" t="s">
        <v>213</v>
      </c>
      <c r="H13" s="2" t="s">
        <v>213</v>
      </c>
      <c r="I13" s="12" t="s">
        <v>283</v>
      </c>
    </row>
    <row r="14" spans="1:10" x14ac:dyDescent="0.25">
      <c r="A14" s="35" t="s">
        <v>43</v>
      </c>
      <c r="B14" s="4">
        <v>4</v>
      </c>
      <c r="C14" s="4" t="s">
        <v>184</v>
      </c>
      <c r="D14" s="6" t="s">
        <v>44</v>
      </c>
      <c r="E14" s="6" t="s">
        <v>45</v>
      </c>
      <c r="F14" s="6" t="s">
        <v>46</v>
      </c>
      <c r="G14" s="2" t="s">
        <v>213</v>
      </c>
      <c r="H14" s="2" t="s">
        <v>213</v>
      </c>
      <c r="I14" s="12" t="s">
        <v>283</v>
      </c>
    </row>
    <row r="15" spans="1:10" x14ac:dyDescent="0.25">
      <c r="A15" s="20" t="s">
        <v>52</v>
      </c>
      <c r="B15" s="2">
        <v>4</v>
      </c>
      <c r="C15" s="2" t="s">
        <v>180</v>
      </c>
      <c r="D15" s="2" t="s">
        <v>53</v>
      </c>
      <c r="E15" s="2" t="s">
        <v>54</v>
      </c>
      <c r="F15" s="2" t="s">
        <v>55</v>
      </c>
      <c r="G15" s="2" t="s">
        <v>213</v>
      </c>
      <c r="H15" s="2" t="s">
        <v>246</v>
      </c>
      <c r="I15" s="12" t="s">
        <v>283</v>
      </c>
    </row>
    <row r="16" spans="1:10" x14ac:dyDescent="0.25">
      <c r="A16" s="22" t="s">
        <v>56</v>
      </c>
      <c r="B16" s="2">
        <v>4</v>
      </c>
      <c r="C16" s="2" t="s">
        <v>178</v>
      </c>
      <c r="D16" s="9" t="s">
        <v>57</v>
      </c>
      <c r="E16" s="2" t="s">
        <v>58</v>
      </c>
      <c r="F16" s="2" t="s">
        <v>59</v>
      </c>
      <c r="G16" s="2" t="s">
        <v>213</v>
      </c>
      <c r="H16" s="2" t="s">
        <v>213</v>
      </c>
      <c r="I16" s="12" t="s">
        <v>283</v>
      </c>
    </row>
    <row r="17" spans="1:9" x14ac:dyDescent="0.25">
      <c r="A17" s="22" t="s">
        <v>130</v>
      </c>
      <c r="B17" s="2">
        <v>4</v>
      </c>
      <c r="C17" s="2" t="s">
        <v>204</v>
      </c>
      <c r="D17" s="2" t="s">
        <v>131</v>
      </c>
      <c r="E17" s="2" t="s">
        <v>132</v>
      </c>
      <c r="F17" s="2" t="s">
        <v>133</v>
      </c>
      <c r="G17" s="2" t="s">
        <v>213</v>
      </c>
      <c r="H17" s="2" t="s">
        <v>213</v>
      </c>
      <c r="I17" s="15" t="s">
        <v>283</v>
      </c>
    </row>
    <row r="18" spans="1:9" x14ac:dyDescent="0.25">
      <c r="A18" s="23" t="s">
        <v>325</v>
      </c>
      <c r="B18" s="6">
        <v>4</v>
      </c>
      <c r="C18" s="2" t="s">
        <v>226</v>
      </c>
      <c r="D18" s="3" t="s">
        <v>223</v>
      </c>
      <c r="E18" s="3" t="s">
        <v>224</v>
      </c>
      <c r="F18" s="9" t="s">
        <v>225</v>
      </c>
      <c r="G18" s="2" t="s">
        <v>213</v>
      </c>
      <c r="H18" s="2" t="s">
        <v>213</v>
      </c>
      <c r="I18" s="15" t="s">
        <v>283</v>
      </c>
    </row>
    <row r="19" spans="1:9" x14ac:dyDescent="0.25">
      <c r="A19" s="20" t="s">
        <v>116</v>
      </c>
      <c r="B19" s="2">
        <v>4</v>
      </c>
      <c r="C19" s="2" t="s">
        <v>200</v>
      </c>
      <c r="D19" s="2" t="s">
        <v>117</v>
      </c>
      <c r="E19" s="2" t="s">
        <v>118</v>
      </c>
      <c r="F19" s="2" t="s">
        <v>119</v>
      </c>
      <c r="G19" s="2" t="s">
        <v>213</v>
      </c>
      <c r="H19" s="2" t="s">
        <v>213</v>
      </c>
      <c r="I19" s="15" t="s">
        <v>283</v>
      </c>
    </row>
    <row r="21" spans="1:9" x14ac:dyDescent="0.25">
      <c r="A21" s="21" t="s">
        <v>285</v>
      </c>
    </row>
    <row r="23" spans="1:9" x14ac:dyDescent="0.25">
      <c r="A23" t="s">
        <v>274</v>
      </c>
    </row>
    <row r="48" spans="11:11" x14ac:dyDescent="0.25">
      <c r="K48" s="2" t="s">
        <v>142</v>
      </c>
    </row>
    <row r="49" spans="11:11" x14ac:dyDescent="0.25">
      <c r="K49" s="8" t="s">
        <v>154</v>
      </c>
    </row>
    <row r="50" spans="11:11" x14ac:dyDescent="0.25">
      <c r="K50" s="7" t="s">
        <v>36</v>
      </c>
    </row>
    <row r="51" spans="11:11" x14ac:dyDescent="0.25">
      <c r="K51" s="6" t="s">
        <v>13</v>
      </c>
    </row>
    <row r="52" spans="11:11" x14ac:dyDescent="0.25">
      <c r="K52" s="2" t="s">
        <v>114</v>
      </c>
    </row>
    <row r="53" spans="11:11" x14ac:dyDescent="0.25">
      <c r="K53" s="2" t="s">
        <v>61</v>
      </c>
    </row>
    <row r="54" spans="11:11" x14ac:dyDescent="0.25">
      <c r="K54" s="2" t="s">
        <v>148</v>
      </c>
    </row>
    <row r="55" spans="11:11" x14ac:dyDescent="0.25">
      <c r="K55" s="2" t="s">
        <v>210</v>
      </c>
    </row>
    <row r="56" spans="11:11" x14ac:dyDescent="0.25">
      <c r="K56" s="6" t="s">
        <v>64</v>
      </c>
    </row>
    <row r="57" spans="11:11" x14ac:dyDescent="0.25">
      <c r="K57" s="2" t="s">
        <v>28</v>
      </c>
    </row>
    <row r="58" spans="11:11" x14ac:dyDescent="0.25">
      <c r="K58" s="12" t="s">
        <v>220</v>
      </c>
    </row>
    <row r="59" spans="11:11" x14ac:dyDescent="0.25">
      <c r="K59" s="2" t="s">
        <v>135</v>
      </c>
    </row>
    <row r="60" spans="11:11" x14ac:dyDescent="0.25">
      <c r="K60" s="2" t="s">
        <v>156</v>
      </c>
    </row>
    <row r="61" spans="11:11" x14ac:dyDescent="0.25">
      <c r="K61" s="2" t="s">
        <v>5</v>
      </c>
    </row>
    <row r="62" spans="11:11" x14ac:dyDescent="0.25">
      <c r="K62" s="6" t="s">
        <v>44</v>
      </c>
    </row>
    <row r="63" spans="11:11" x14ac:dyDescent="0.25">
      <c r="K63" s="6" t="s">
        <v>239</v>
      </c>
    </row>
    <row r="64" spans="11:11" x14ac:dyDescent="0.25">
      <c r="K64" s="2" t="s">
        <v>53</v>
      </c>
    </row>
    <row r="65" spans="11:11" x14ac:dyDescent="0.25">
      <c r="K65" s="9" t="s">
        <v>57</v>
      </c>
    </row>
    <row r="66" spans="11:11" x14ac:dyDescent="0.25">
      <c r="K66" s="2" t="s">
        <v>247</v>
      </c>
    </row>
    <row r="67" spans="11:11" x14ac:dyDescent="0.25">
      <c r="K67" s="2" t="s">
        <v>131</v>
      </c>
    </row>
    <row r="68" spans="11:11" x14ac:dyDescent="0.25">
      <c r="K68" s="3" t="s">
        <v>223</v>
      </c>
    </row>
    <row r="69" spans="11:11" x14ac:dyDescent="0.25">
      <c r="K69" s="2" t="s">
        <v>117</v>
      </c>
    </row>
    <row r="70" spans="11:11" x14ac:dyDescent="0.25">
      <c r="K70" s="2" t="s">
        <v>143</v>
      </c>
    </row>
    <row r="71" spans="11:11" x14ac:dyDescent="0.25">
      <c r="K71" s="2" t="s">
        <v>125</v>
      </c>
    </row>
    <row r="72" spans="11:11" x14ac:dyDescent="0.25">
      <c r="K72" s="7" t="s">
        <v>37</v>
      </c>
    </row>
    <row r="73" spans="11:11" x14ac:dyDescent="0.25">
      <c r="K73" s="6" t="s">
        <v>14</v>
      </c>
    </row>
    <row r="74" spans="11:11" x14ac:dyDescent="0.25">
      <c r="K74" s="2" t="s">
        <v>17</v>
      </c>
    </row>
    <row r="75" spans="11:11" x14ac:dyDescent="0.25">
      <c r="K75" s="2" t="s">
        <v>62</v>
      </c>
    </row>
    <row r="76" spans="11:11" x14ac:dyDescent="0.25">
      <c r="K76" s="2" t="s">
        <v>149</v>
      </c>
    </row>
    <row r="77" spans="11:11" x14ac:dyDescent="0.25">
      <c r="K77" s="2" t="s">
        <v>211</v>
      </c>
    </row>
    <row r="78" spans="11:11" x14ac:dyDescent="0.25">
      <c r="K78" s="6" t="s">
        <v>65</v>
      </c>
    </row>
    <row r="79" spans="11:11" x14ac:dyDescent="0.25">
      <c r="K79" s="2" t="s">
        <v>29</v>
      </c>
    </row>
    <row r="80" spans="11:11" x14ac:dyDescent="0.25">
      <c r="K80" s="12" t="s">
        <v>221</v>
      </c>
    </row>
    <row r="81" spans="11:11" x14ac:dyDescent="0.25">
      <c r="K81" s="2" t="s">
        <v>136</v>
      </c>
    </row>
    <row r="82" spans="11:11" x14ac:dyDescent="0.25">
      <c r="K82" s="2" t="s">
        <v>152</v>
      </c>
    </row>
    <row r="83" spans="11:11" x14ac:dyDescent="0.25">
      <c r="K83" s="2" t="s">
        <v>6</v>
      </c>
    </row>
    <row r="84" spans="11:11" x14ac:dyDescent="0.25">
      <c r="K84" s="6" t="s">
        <v>45</v>
      </c>
    </row>
    <row r="85" spans="11:11" x14ac:dyDescent="0.25">
      <c r="K85" s="10" t="s">
        <v>240</v>
      </c>
    </row>
    <row r="86" spans="11:11" x14ac:dyDescent="0.25">
      <c r="K86" s="2" t="s">
        <v>54</v>
      </c>
    </row>
    <row r="87" spans="11:11" x14ac:dyDescent="0.25">
      <c r="K87" s="2" t="s">
        <v>58</v>
      </c>
    </row>
    <row r="88" spans="11:11" x14ac:dyDescent="0.25">
      <c r="K88" s="2" t="s">
        <v>248</v>
      </c>
    </row>
    <row r="89" spans="11:11" x14ac:dyDescent="0.25">
      <c r="K89" s="2" t="s">
        <v>132</v>
      </c>
    </row>
    <row r="90" spans="11:11" x14ac:dyDescent="0.25">
      <c r="K90" s="3" t="s">
        <v>224</v>
      </c>
    </row>
    <row r="91" spans="11:11" x14ac:dyDescent="0.25">
      <c r="K91" s="2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99E9-DABF-4048-B30A-9C8F8030A6A1}">
  <dimension ref="A1:I18"/>
  <sheetViews>
    <sheetView workbookViewId="0">
      <selection activeCell="C2" activeCellId="1" sqref="A2:A15 C2:E15"/>
    </sheetView>
  </sheetViews>
  <sheetFormatPr defaultRowHeight="15" x14ac:dyDescent="0.25"/>
  <cols>
    <col min="1" max="1" width="30.5703125" bestFit="1" customWidth="1"/>
    <col min="3" max="3" width="14" bestFit="1" customWidth="1"/>
    <col min="4" max="4" width="19.140625" bestFit="1" customWidth="1"/>
    <col min="5" max="5" width="18.5703125" bestFit="1" customWidth="1"/>
    <col min="6" max="6" width="20" customWidth="1"/>
  </cols>
  <sheetData>
    <row r="1" spans="1:9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/>
    </row>
    <row r="2" spans="1:9" x14ac:dyDescent="0.25">
      <c r="A2" s="39" t="s">
        <v>1</v>
      </c>
      <c r="B2" s="2">
        <v>1</v>
      </c>
      <c r="C2" s="2" t="s">
        <v>157</v>
      </c>
      <c r="D2" s="2" t="s">
        <v>295</v>
      </c>
      <c r="E2" s="2" t="s">
        <v>313</v>
      </c>
      <c r="F2" s="8"/>
      <c r="G2" s="2"/>
      <c r="H2" s="2"/>
      <c r="I2" s="42" t="str" cm="1">
        <f t="array" ref="I2">_xlfn.TEXTJOIN(", ",TRUE,UPPER(D2:E15))</f>
        <v>AMP_ND10, AMP_NM, -, CZO_NM, FEP_ND30, FEP_NM, FOX_ND30, FOX_NM, CAZ_ND30, CAZ_NM, IPM_ND10, IPM_NM, MEM_ND10, MEM_NM, -, AZM_NM, AMK_ND30, AMK_NM, GEN_ND10, GEN_NM, -, DOX_NM, TCY_ND30, TCY_NM, SXT_ND1_2, SXT_NM, CHL_ND30, CHL_NM</v>
      </c>
    </row>
    <row r="3" spans="1:9" x14ac:dyDescent="0.25">
      <c r="A3" s="2" t="s">
        <v>11</v>
      </c>
      <c r="B3" s="2"/>
      <c r="C3" s="2" t="s">
        <v>330</v>
      </c>
      <c r="D3" s="8" t="s">
        <v>329</v>
      </c>
      <c r="E3" s="2" t="s">
        <v>314</v>
      </c>
      <c r="F3" s="2"/>
      <c r="G3" s="2"/>
      <c r="H3" s="2"/>
      <c r="I3" s="42" t="s">
        <v>373</v>
      </c>
    </row>
    <row r="4" spans="1:9" x14ac:dyDescent="0.25">
      <c r="A4" s="6" t="s">
        <v>43</v>
      </c>
      <c r="B4" s="7"/>
      <c r="C4" s="2" t="s">
        <v>166</v>
      </c>
      <c r="D4" s="7" t="s">
        <v>298</v>
      </c>
      <c r="E4" s="7" t="s">
        <v>310</v>
      </c>
      <c r="F4" s="7"/>
      <c r="G4" s="2"/>
      <c r="H4" s="2"/>
      <c r="I4" s="12"/>
    </row>
    <row r="5" spans="1:9" x14ac:dyDescent="0.25">
      <c r="A5" s="3" t="s">
        <v>47</v>
      </c>
      <c r="B5" s="3"/>
      <c r="C5" s="2" t="s">
        <v>331</v>
      </c>
      <c r="D5" s="6" t="s">
        <v>302</v>
      </c>
      <c r="E5" s="6" t="s">
        <v>315</v>
      </c>
      <c r="F5" s="6"/>
      <c r="G5" s="2"/>
      <c r="H5" s="2"/>
      <c r="I5" s="12"/>
    </row>
    <row r="6" spans="1:9" x14ac:dyDescent="0.25">
      <c r="A6" s="5" t="s">
        <v>88</v>
      </c>
      <c r="B6" s="5"/>
      <c r="C6" s="2" t="s">
        <v>332</v>
      </c>
      <c r="D6" s="2" t="s">
        <v>304</v>
      </c>
      <c r="E6" s="2" t="s">
        <v>305</v>
      </c>
      <c r="F6" s="2"/>
      <c r="G6" s="2"/>
      <c r="H6" s="2"/>
      <c r="I6" s="12"/>
    </row>
    <row r="7" spans="1:9" x14ac:dyDescent="0.25">
      <c r="A7" s="2" t="s">
        <v>56</v>
      </c>
      <c r="B7" s="2"/>
      <c r="C7" s="2" t="s">
        <v>333</v>
      </c>
      <c r="D7" s="2" t="s">
        <v>299</v>
      </c>
      <c r="E7" s="2" t="s">
        <v>306</v>
      </c>
      <c r="F7" s="2"/>
      <c r="G7" s="2"/>
      <c r="H7" s="2"/>
      <c r="I7" s="12"/>
    </row>
    <row r="8" spans="1:9" x14ac:dyDescent="0.25">
      <c r="A8" s="5" t="s">
        <v>60</v>
      </c>
      <c r="B8" s="5"/>
      <c r="C8" s="2" t="s">
        <v>334</v>
      </c>
      <c r="D8" s="2" t="s">
        <v>300</v>
      </c>
      <c r="E8" s="2" t="s">
        <v>307</v>
      </c>
      <c r="F8" s="8"/>
      <c r="G8" s="2"/>
      <c r="H8" s="2"/>
      <c r="I8" s="12"/>
    </row>
    <row r="9" spans="1:9" x14ac:dyDescent="0.25">
      <c r="A9" s="39" t="s">
        <v>102</v>
      </c>
      <c r="B9" s="2">
        <v>1</v>
      </c>
      <c r="C9" s="2" t="s">
        <v>335</v>
      </c>
      <c r="D9" s="8" t="s">
        <v>329</v>
      </c>
      <c r="E9" s="2" t="s">
        <v>318</v>
      </c>
      <c r="F9" s="2"/>
      <c r="G9" s="2"/>
      <c r="H9" s="2"/>
      <c r="I9" s="12"/>
    </row>
    <row r="10" spans="1:9" x14ac:dyDescent="0.25">
      <c r="A10" s="3" t="s">
        <v>39</v>
      </c>
      <c r="B10" s="3"/>
      <c r="C10" s="2" t="s">
        <v>336</v>
      </c>
      <c r="D10" s="6" t="s">
        <v>301</v>
      </c>
      <c r="E10" s="6" t="s">
        <v>309</v>
      </c>
      <c r="F10" s="6"/>
      <c r="G10" s="2"/>
      <c r="H10" s="2"/>
      <c r="I10" s="12"/>
    </row>
    <row r="11" spans="1:9" x14ac:dyDescent="0.25">
      <c r="A11" s="2" t="s">
        <v>23</v>
      </c>
      <c r="B11" s="2"/>
      <c r="C11" s="2" t="s">
        <v>337</v>
      </c>
      <c r="D11" s="2" t="s">
        <v>296</v>
      </c>
      <c r="E11" s="2" t="s">
        <v>308</v>
      </c>
      <c r="F11" s="2"/>
      <c r="G11" s="2"/>
      <c r="H11" s="2"/>
      <c r="I11" s="12"/>
    </row>
    <row r="12" spans="1:9" x14ac:dyDescent="0.25">
      <c r="A12" s="40" t="s">
        <v>212</v>
      </c>
      <c r="B12" s="12">
        <v>1</v>
      </c>
      <c r="C12" s="12" t="s">
        <v>338</v>
      </c>
      <c r="D12" s="38" t="s">
        <v>329</v>
      </c>
      <c r="E12" s="12" t="s">
        <v>324</v>
      </c>
      <c r="F12" s="12"/>
      <c r="G12" s="2"/>
      <c r="H12" s="2"/>
      <c r="I12" s="12"/>
    </row>
    <row r="13" spans="1:9" x14ac:dyDescent="0.25">
      <c r="A13" s="39" t="s">
        <v>67</v>
      </c>
      <c r="B13" s="2">
        <v>1</v>
      </c>
      <c r="C13" s="2" t="s">
        <v>162</v>
      </c>
      <c r="D13" s="2" t="s">
        <v>303</v>
      </c>
      <c r="E13" s="2" t="s">
        <v>312</v>
      </c>
      <c r="F13" s="2"/>
      <c r="G13" s="2"/>
      <c r="H13" s="2"/>
      <c r="I13" s="12"/>
    </row>
    <row r="14" spans="1:9" x14ac:dyDescent="0.25">
      <c r="A14" s="39" t="s">
        <v>326</v>
      </c>
      <c r="B14" s="2">
        <v>1</v>
      </c>
      <c r="C14" s="2" t="s">
        <v>339</v>
      </c>
      <c r="D14" s="2" t="s">
        <v>297</v>
      </c>
      <c r="E14" s="2" t="s">
        <v>311</v>
      </c>
      <c r="F14" s="2"/>
      <c r="G14" s="2"/>
      <c r="H14" s="2"/>
      <c r="I14" s="12"/>
    </row>
    <row r="15" spans="1:9" x14ac:dyDescent="0.25">
      <c r="A15" s="39" t="s">
        <v>327</v>
      </c>
      <c r="B15" s="2">
        <v>1</v>
      </c>
      <c r="C15" s="2" t="s">
        <v>340</v>
      </c>
      <c r="D15" s="2" t="s">
        <v>316</v>
      </c>
      <c r="E15" s="2" t="s">
        <v>317</v>
      </c>
      <c r="F15" s="2"/>
      <c r="G15" s="2"/>
      <c r="H15" s="2"/>
      <c r="I15" s="12"/>
    </row>
    <row r="18" spans="1:1" x14ac:dyDescent="0.25">
      <c r="A18" t="s">
        <v>328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9"/>
  <sheetViews>
    <sheetView workbookViewId="0">
      <selection activeCell="C2" activeCellId="1" sqref="A2:A13 C2:E13"/>
    </sheetView>
  </sheetViews>
  <sheetFormatPr defaultRowHeight="15" x14ac:dyDescent="0.25"/>
  <cols>
    <col min="1" max="1" width="16.28515625" bestFit="1" customWidth="1"/>
    <col min="2" max="2" width="16.28515625" customWidth="1"/>
    <col min="3" max="3" width="14" bestFit="1" customWidth="1"/>
    <col min="4" max="4" width="19.140625" bestFit="1" customWidth="1"/>
    <col min="5" max="5" width="18.5703125" bestFit="1" customWidth="1"/>
    <col min="6" max="6" width="20.140625" bestFit="1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0" x14ac:dyDescent="0.25">
      <c r="A2" s="5" t="s">
        <v>273</v>
      </c>
      <c r="B2" s="5">
        <v>1</v>
      </c>
      <c r="C2" s="2" t="s">
        <v>171</v>
      </c>
      <c r="D2" s="2" t="s">
        <v>148</v>
      </c>
      <c r="E2" s="2" t="s">
        <v>149</v>
      </c>
      <c r="F2" s="8" t="s">
        <v>150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",TRUE,UPPER(D2:E13))</f>
        <v>CLI_ND2, CLI_NM, ERY_ND15, ERY_NM, PEN_ND10, PEN_NM, AMP_ND10, AMP_NM, TCY_ND30, TCY_NM, CTX_ND30, CTX_NM, CRO_ND30, CRO_NM, VAN_ND30, VAN_NM, FEP_ND30, FEP_NM, CPT_ND30, CPT_NM, DAP_ND30, DAP_NM, LVX_ND5, LVX_NM</v>
      </c>
    </row>
    <row r="3" spans="1:10" x14ac:dyDescent="0.25">
      <c r="A3" s="2" t="s">
        <v>272</v>
      </c>
      <c r="B3" s="2">
        <v>1</v>
      </c>
      <c r="C3" s="2" t="s">
        <v>170</v>
      </c>
      <c r="D3" s="2" t="s">
        <v>142</v>
      </c>
      <c r="E3" s="2" t="s">
        <v>143</v>
      </c>
      <c r="F3" s="8" t="s">
        <v>144</v>
      </c>
      <c r="G3" s="2" t="s">
        <v>213</v>
      </c>
      <c r="H3" s="2" t="s">
        <v>213</v>
      </c>
      <c r="I3" s="12" t="s">
        <v>283</v>
      </c>
      <c r="J3" t="s">
        <v>375</v>
      </c>
    </row>
    <row r="4" spans="1:10" x14ac:dyDescent="0.25">
      <c r="A4" s="2" t="s">
        <v>124</v>
      </c>
      <c r="B4" s="2">
        <v>1</v>
      </c>
      <c r="C4" s="2" t="s">
        <v>167</v>
      </c>
      <c r="D4" s="8" t="s">
        <v>154</v>
      </c>
      <c r="E4" s="2" t="s">
        <v>125</v>
      </c>
      <c r="F4" s="2" t="s">
        <v>126</v>
      </c>
      <c r="G4" s="2" t="s">
        <v>213</v>
      </c>
      <c r="H4" s="2" t="s">
        <v>246</v>
      </c>
      <c r="I4" s="12" t="s">
        <v>283</v>
      </c>
    </row>
    <row r="5" spans="1:10" x14ac:dyDescent="0.25">
      <c r="A5" s="2" t="s">
        <v>1</v>
      </c>
      <c r="B5" s="2">
        <v>1</v>
      </c>
      <c r="C5" s="2" t="s">
        <v>157</v>
      </c>
      <c r="D5" s="2" t="s">
        <v>2</v>
      </c>
      <c r="E5" s="2" t="s">
        <v>3</v>
      </c>
      <c r="F5" s="2" t="s">
        <v>4</v>
      </c>
      <c r="G5" s="2" t="s">
        <v>213</v>
      </c>
      <c r="H5" s="2" t="s">
        <v>246</v>
      </c>
      <c r="I5" s="12" t="s">
        <v>283</v>
      </c>
    </row>
    <row r="6" spans="1:10" x14ac:dyDescent="0.25">
      <c r="A6" s="3" t="s">
        <v>67</v>
      </c>
      <c r="B6" s="3">
        <v>2</v>
      </c>
      <c r="C6" s="2" t="s">
        <v>162</v>
      </c>
      <c r="D6" s="6" t="s">
        <v>64</v>
      </c>
      <c r="E6" s="6" t="s">
        <v>65</v>
      </c>
      <c r="F6" s="6" t="s">
        <v>66</v>
      </c>
      <c r="G6" s="2" t="s">
        <v>213</v>
      </c>
      <c r="H6" s="2" t="s">
        <v>213</v>
      </c>
      <c r="I6" s="12" t="s">
        <v>283</v>
      </c>
    </row>
    <row r="7" spans="1:10" x14ac:dyDescent="0.25">
      <c r="A7" s="3" t="s">
        <v>12</v>
      </c>
      <c r="B7" s="3">
        <v>3</v>
      </c>
      <c r="C7" s="4" t="s">
        <v>159</v>
      </c>
      <c r="D7" s="2" t="s">
        <v>13</v>
      </c>
      <c r="E7" s="2" t="s">
        <v>14</v>
      </c>
      <c r="F7" s="2" t="s">
        <v>15</v>
      </c>
      <c r="G7" s="2" t="s">
        <v>213</v>
      </c>
      <c r="H7" s="2" t="s">
        <v>213</v>
      </c>
      <c r="I7" s="12" t="s">
        <v>283</v>
      </c>
    </row>
    <row r="8" spans="1:10" x14ac:dyDescent="0.25">
      <c r="A8" s="5" t="s">
        <v>16</v>
      </c>
      <c r="B8" s="5">
        <v>3</v>
      </c>
      <c r="C8" s="3" t="s">
        <v>160</v>
      </c>
      <c r="D8" s="2" t="s">
        <v>114</v>
      </c>
      <c r="E8" s="2" t="s">
        <v>17</v>
      </c>
      <c r="F8" s="2" t="s">
        <v>18</v>
      </c>
      <c r="G8" s="2" t="s">
        <v>213</v>
      </c>
      <c r="H8" s="2" t="s">
        <v>213</v>
      </c>
      <c r="I8" s="12" t="s">
        <v>283</v>
      </c>
    </row>
    <row r="9" spans="1:10" x14ac:dyDescent="0.25">
      <c r="A9" s="2" t="s">
        <v>134</v>
      </c>
      <c r="B9" s="2">
        <v>3</v>
      </c>
      <c r="C9" s="2" t="s">
        <v>169</v>
      </c>
      <c r="D9" s="2" t="s">
        <v>135</v>
      </c>
      <c r="E9" s="2" t="s">
        <v>136</v>
      </c>
      <c r="F9" s="2" t="s">
        <v>137</v>
      </c>
      <c r="G9" s="2" t="s">
        <v>213</v>
      </c>
      <c r="H9" s="2" t="s">
        <v>213</v>
      </c>
      <c r="I9" s="12" t="s">
        <v>283</v>
      </c>
    </row>
    <row r="10" spans="1:10" x14ac:dyDescent="0.25">
      <c r="A10" s="4" t="s">
        <v>43</v>
      </c>
      <c r="B10" s="4">
        <v>4</v>
      </c>
      <c r="C10" s="2" t="s">
        <v>166</v>
      </c>
      <c r="D10" s="6" t="s">
        <v>44</v>
      </c>
      <c r="E10" s="6" t="s">
        <v>45</v>
      </c>
      <c r="F10" s="6" t="s">
        <v>46</v>
      </c>
      <c r="G10" s="2" t="s">
        <v>213</v>
      </c>
      <c r="H10" s="2" t="s">
        <v>213</v>
      </c>
      <c r="I10" s="12" t="s">
        <v>283</v>
      </c>
    </row>
    <row r="11" spans="1:10" x14ac:dyDescent="0.25">
      <c r="A11" s="3" t="s">
        <v>237</v>
      </c>
      <c r="B11" s="3">
        <v>4</v>
      </c>
      <c r="C11" s="2" t="s">
        <v>238</v>
      </c>
      <c r="D11" s="6" t="s">
        <v>239</v>
      </c>
      <c r="E11" s="10" t="s">
        <v>240</v>
      </c>
      <c r="F11" s="10" t="s">
        <v>241</v>
      </c>
      <c r="G11" s="2" t="s">
        <v>213</v>
      </c>
      <c r="H11" s="6" t="s">
        <v>216</v>
      </c>
      <c r="I11" s="12" t="s">
        <v>283</v>
      </c>
    </row>
    <row r="12" spans="1:10" x14ac:dyDescent="0.25">
      <c r="A12" s="2" t="s">
        <v>276</v>
      </c>
      <c r="B12" s="2">
        <v>4</v>
      </c>
      <c r="C12" s="2" t="s">
        <v>203</v>
      </c>
      <c r="D12" s="2" t="s">
        <v>127</v>
      </c>
      <c r="E12" s="2" t="s">
        <v>128</v>
      </c>
      <c r="F12" s="2" t="s">
        <v>129</v>
      </c>
      <c r="G12" s="2" t="s">
        <v>213</v>
      </c>
      <c r="H12" s="2" t="s">
        <v>213</v>
      </c>
      <c r="I12" s="12" t="s">
        <v>283</v>
      </c>
    </row>
    <row r="13" spans="1:10" x14ac:dyDescent="0.25">
      <c r="A13" s="2" t="s">
        <v>27</v>
      </c>
      <c r="B13" s="2">
        <v>4</v>
      </c>
      <c r="C13" s="2" t="s">
        <v>161</v>
      </c>
      <c r="D13" s="2" t="s">
        <v>28</v>
      </c>
      <c r="E13" s="2" t="s">
        <v>29</v>
      </c>
      <c r="F13" s="2" t="s">
        <v>30</v>
      </c>
      <c r="G13" s="2" t="s">
        <v>213</v>
      </c>
      <c r="H13" s="2" t="s">
        <v>213</v>
      </c>
      <c r="I13" s="12" t="s">
        <v>283</v>
      </c>
    </row>
    <row r="15" spans="1:10" x14ac:dyDescent="0.25">
      <c r="A15" s="16" t="s">
        <v>285</v>
      </c>
    </row>
    <row r="17" spans="1:1" x14ac:dyDescent="0.25">
      <c r="A17" t="s">
        <v>275</v>
      </c>
    </row>
    <row r="18" spans="1:1" x14ac:dyDescent="0.25">
      <c r="A18" t="s">
        <v>280</v>
      </c>
    </row>
    <row r="19" spans="1:1" x14ac:dyDescent="0.25">
      <c r="A19" t="s">
        <v>279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4"/>
  <sheetViews>
    <sheetView workbookViewId="0">
      <selection activeCell="C2" activeCellId="1" sqref="A2:A10 C2:E10"/>
    </sheetView>
  </sheetViews>
  <sheetFormatPr defaultRowHeight="15" x14ac:dyDescent="0.25"/>
  <cols>
    <col min="1" max="1" width="23" bestFit="1" customWidth="1"/>
    <col min="2" max="2" width="11.5703125" customWidth="1"/>
    <col min="3" max="3" width="14" bestFit="1" customWidth="1"/>
    <col min="4" max="4" width="19.140625" bestFit="1" customWidth="1"/>
    <col min="5" max="5" width="18.5703125" bestFit="1" customWidth="1"/>
    <col min="6" max="6" width="20.140625" bestFit="1" customWidth="1"/>
    <col min="9" max="9" width="14.140625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0" x14ac:dyDescent="0.25">
      <c r="A2" s="2" t="s">
        <v>1</v>
      </c>
      <c r="B2" s="2">
        <v>1</v>
      </c>
      <c r="C2" s="2" t="s">
        <v>158</v>
      </c>
      <c r="D2" s="2" t="s">
        <v>2</v>
      </c>
      <c r="E2" s="2" t="s">
        <v>3</v>
      </c>
      <c r="F2" s="2" t="s">
        <v>4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",TRUE,UPPER(D2:E10))</f>
        <v>AMP_ND10, AMP_NM, PEN_ND10, PEN_NM, CTX_ND30, CTX_NM, CRO_ND30, CRO_NM, VAN_ND30, VAN_NM, FEP_ND30, FEP_NM, CLI_ND2, CLI_NM, ERY_ND15, ERY_NM, LVX_ND5, LVX_NM</v>
      </c>
    </row>
    <row r="3" spans="1:10" x14ac:dyDescent="0.25">
      <c r="A3" s="2" t="s">
        <v>124</v>
      </c>
      <c r="B3" s="2">
        <v>1</v>
      </c>
      <c r="C3" s="2" t="s">
        <v>202</v>
      </c>
      <c r="D3" s="8" t="s">
        <v>154</v>
      </c>
      <c r="E3" s="2" t="s">
        <v>125</v>
      </c>
      <c r="F3" s="2" t="s">
        <v>126</v>
      </c>
      <c r="G3" s="2" t="s">
        <v>213</v>
      </c>
      <c r="H3" s="2" t="s">
        <v>213</v>
      </c>
      <c r="I3" s="12" t="s">
        <v>283</v>
      </c>
      <c r="J3" t="s">
        <v>376</v>
      </c>
    </row>
    <row r="4" spans="1:10" x14ac:dyDescent="0.25">
      <c r="A4" s="3" t="s">
        <v>12</v>
      </c>
      <c r="B4" s="3">
        <v>1</v>
      </c>
      <c r="C4" s="4" t="s">
        <v>172</v>
      </c>
      <c r="D4" s="2" t="s">
        <v>13</v>
      </c>
      <c r="E4" s="2" t="s">
        <v>14</v>
      </c>
      <c r="F4" s="2" t="s">
        <v>15</v>
      </c>
      <c r="G4" s="2" t="s">
        <v>213</v>
      </c>
      <c r="H4" s="2" t="s">
        <v>213</v>
      </c>
      <c r="I4" s="12" t="s">
        <v>283</v>
      </c>
    </row>
    <row r="5" spans="1:10" x14ac:dyDescent="0.25">
      <c r="A5" s="5" t="s">
        <v>16</v>
      </c>
      <c r="B5" s="5">
        <v>1</v>
      </c>
      <c r="C5" s="3" t="s">
        <v>173</v>
      </c>
      <c r="D5" s="2" t="s">
        <v>114</v>
      </c>
      <c r="E5" s="2" t="s">
        <v>17</v>
      </c>
      <c r="F5" s="2" t="s">
        <v>18</v>
      </c>
      <c r="G5" s="2" t="s">
        <v>213</v>
      </c>
      <c r="H5" s="2" t="s">
        <v>213</v>
      </c>
      <c r="I5" s="12" t="s">
        <v>283</v>
      </c>
    </row>
    <row r="6" spans="1:10" x14ac:dyDescent="0.25">
      <c r="A6" s="2" t="s">
        <v>134</v>
      </c>
      <c r="B6" s="2">
        <v>2</v>
      </c>
      <c r="C6" s="2" t="s">
        <v>205</v>
      </c>
      <c r="D6" s="2" t="s">
        <v>135</v>
      </c>
      <c r="E6" s="2" t="s">
        <v>136</v>
      </c>
      <c r="F6" s="2" t="s">
        <v>137</v>
      </c>
      <c r="G6" s="2" t="s">
        <v>213</v>
      </c>
      <c r="H6" s="2" t="s">
        <v>213</v>
      </c>
      <c r="I6" s="12" t="s">
        <v>283</v>
      </c>
    </row>
    <row r="7" spans="1:10" x14ac:dyDescent="0.25">
      <c r="A7" s="4" t="s">
        <v>43</v>
      </c>
      <c r="B7" s="4">
        <v>4</v>
      </c>
      <c r="C7" s="2" t="s">
        <v>184</v>
      </c>
      <c r="D7" s="6" t="s">
        <v>44</v>
      </c>
      <c r="E7" s="6" t="s">
        <v>45</v>
      </c>
      <c r="F7" s="6" t="s">
        <v>46</v>
      </c>
      <c r="G7" s="2" t="s">
        <v>213</v>
      </c>
      <c r="H7" s="2" t="s">
        <v>213</v>
      </c>
      <c r="I7" s="12" t="s">
        <v>283</v>
      </c>
    </row>
    <row r="8" spans="1:10" x14ac:dyDescent="0.25">
      <c r="A8" s="5" t="s">
        <v>273</v>
      </c>
      <c r="B8" s="5">
        <v>4</v>
      </c>
      <c r="C8" s="2" t="s">
        <v>209</v>
      </c>
      <c r="D8" s="2" t="s">
        <v>148</v>
      </c>
      <c r="E8" s="2" t="s">
        <v>149</v>
      </c>
      <c r="F8" s="8" t="s">
        <v>150</v>
      </c>
      <c r="G8" s="2" t="s">
        <v>213</v>
      </c>
      <c r="H8" s="2" t="s">
        <v>213</v>
      </c>
      <c r="I8" s="12" t="s">
        <v>283</v>
      </c>
    </row>
    <row r="9" spans="1:10" x14ac:dyDescent="0.25">
      <c r="A9" s="2" t="s">
        <v>272</v>
      </c>
      <c r="B9" s="2">
        <v>4</v>
      </c>
      <c r="C9" s="2" t="s">
        <v>207</v>
      </c>
      <c r="D9" s="2" t="s">
        <v>142</v>
      </c>
      <c r="E9" s="2" t="s">
        <v>143</v>
      </c>
      <c r="F9" s="8" t="s">
        <v>144</v>
      </c>
      <c r="G9" s="2" t="s">
        <v>213</v>
      </c>
      <c r="H9" s="2" t="s">
        <v>213</v>
      </c>
      <c r="I9" s="12" t="s">
        <v>283</v>
      </c>
    </row>
    <row r="10" spans="1:10" ht="14.25" customHeight="1" x14ac:dyDescent="0.25">
      <c r="A10" s="2" t="s">
        <v>27</v>
      </c>
      <c r="B10" s="2">
        <v>4</v>
      </c>
      <c r="C10" s="2" t="s">
        <v>175</v>
      </c>
      <c r="D10" s="2" t="s">
        <v>28</v>
      </c>
      <c r="E10" s="2" t="s">
        <v>29</v>
      </c>
      <c r="F10" s="2" t="s">
        <v>30</v>
      </c>
      <c r="G10" s="2" t="s">
        <v>213</v>
      </c>
      <c r="H10" s="2" t="s">
        <v>213</v>
      </c>
      <c r="I10" s="12" t="s">
        <v>283</v>
      </c>
    </row>
    <row r="12" spans="1:10" x14ac:dyDescent="0.25">
      <c r="A12" s="16" t="s">
        <v>285</v>
      </c>
    </row>
    <row r="14" spans="1:10" x14ac:dyDescent="0.25">
      <c r="A14" t="s">
        <v>281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2"/>
  <sheetViews>
    <sheetView workbookViewId="0">
      <selection activeCell="C2" activeCellId="1" sqref="A2:A10 C2:E10"/>
    </sheetView>
  </sheetViews>
  <sheetFormatPr defaultRowHeight="15" x14ac:dyDescent="0.25"/>
  <cols>
    <col min="1" max="1" width="30.5703125" bestFit="1" customWidth="1"/>
    <col min="2" max="2" width="8.85546875" customWidth="1"/>
    <col min="3" max="3" width="14" bestFit="1" customWidth="1"/>
    <col min="4" max="4" width="17.85546875" bestFit="1" customWidth="1"/>
    <col min="5" max="5" width="18.5703125" bestFit="1" customWidth="1"/>
    <col min="6" max="6" width="20.140625" bestFit="1" customWidth="1"/>
  </cols>
  <sheetData>
    <row r="1" spans="1:10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  <c r="I1" s="11" t="s">
        <v>282</v>
      </c>
    </row>
    <row r="2" spans="1:10" x14ac:dyDescent="0.25">
      <c r="A2" s="2" t="s">
        <v>124</v>
      </c>
      <c r="B2" s="2">
        <v>1</v>
      </c>
      <c r="C2" s="2" t="s">
        <v>202</v>
      </c>
      <c r="D2" s="8" t="s">
        <v>154</v>
      </c>
      <c r="E2" s="2" t="s">
        <v>125</v>
      </c>
      <c r="F2" s="2" t="s">
        <v>126</v>
      </c>
      <c r="G2" s="2" t="s">
        <v>213</v>
      </c>
      <c r="H2" s="2" t="s">
        <v>213</v>
      </c>
      <c r="I2" s="12" t="s">
        <v>283</v>
      </c>
      <c r="J2" t="str" cm="1">
        <f t="array" ref="J2">_xlfn.TEXTJOIN(", ",TRUE,UPPER(D2:E10))</f>
        <v>PEN_ND10, PEN_NM, CTX_ND30, CTX_NM, CRO_ND30, CRO_NM, MEM_ND10, MEM_NM, AZM_ND15, AZM_NM, CIP_ND5, CIP_NM, LVX_ND5, LVX_NM, SXT_ND1_2, SXT_NM, RIF_ND5, RIF_NM</v>
      </c>
    </row>
    <row r="3" spans="1:10" x14ac:dyDescent="0.25">
      <c r="A3" s="3" t="s">
        <v>12</v>
      </c>
      <c r="B3" s="3">
        <v>1</v>
      </c>
      <c r="C3" s="4" t="s">
        <v>172</v>
      </c>
      <c r="D3" s="2" t="s">
        <v>13</v>
      </c>
      <c r="E3" s="2" t="s">
        <v>14</v>
      </c>
      <c r="F3" s="2" t="s">
        <v>15</v>
      </c>
      <c r="G3" s="2" t="s">
        <v>213</v>
      </c>
      <c r="H3" s="2" t="s">
        <v>246</v>
      </c>
      <c r="I3" s="12" t="s">
        <v>283</v>
      </c>
      <c r="J3" t="s">
        <v>377</v>
      </c>
    </row>
    <row r="4" spans="1:10" x14ac:dyDescent="0.25">
      <c r="A4" s="5" t="s">
        <v>16</v>
      </c>
      <c r="B4" s="5">
        <v>1</v>
      </c>
      <c r="C4" s="5" t="s">
        <v>173</v>
      </c>
      <c r="D4" s="2" t="s">
        <v>114</v>
      </c>
      <c r="E4" s="2" t="s">
        <v>17</v>
      </c>
      <c r="F4" s="2" t="s">
        <v>18</v>
      </c>
      <c r="G4" s="2" t="s">
        <v>213</v>
      </c>
      <c r="H4" s="2" t="s">
        <v>246</v>
      </c>
      <c r="I4" s="12" t="s">
        <v>283</v>
      </c>
    </row>
    <row r="5" spans="1:10" x14ac:dyDescent="0.25">
      <c r="A5" s="2" t="s">
        <v>60</v>
      </c>
      <c r="B5" s="2">
        <v>4</v>
      </c>
      <c r="C5" s="2" t="s">
        <v>179</v>
      </c>
      <c r="D5" s="2" t="s">
        <v>61</v>
      </c>
      <c r="E5" s="2" t="s">
        <v>62</v>
      </c>
      <c r="F5" s="2" t="s">
        <v>63</v>
      </c>
      <c r="G5" s="2" t="s">
        <v>213</v>
      </c>
      <c r="H5" s="2" t="s">
        <v>213</v>
      </c>
      <c r="I5" s="12" t="s">
        <v>283</v>
      </c>
    </row>
    <row r="6" spans="1:10" x14ac:dyDescent="0.25">
      <c r="A6" s="3" t="s">
        <v>102</v>
      </c>
      <c r="B6" s="3">
        <v>4</v>
      </c>
      <c r="C6" s="3" t="s">
        <v>177</v>
      </c>
      <c r="D6" s="2" t="s">
        <v>103</v>
      </c>
      <c r="E6" s="2" t="s">
        <v>104</v>
      </c>
      <c r="F6" s="2" t="s">
        <v>105</v>
      </c>
      <c r="G6" s="2" t="s">
        <v>213</v>
      </c>
      <c r="H6" s="2" t="s">
        <v>213</v>
      </c>
      <c r="I6" s="12" t="s">
        <v>283</v>
      </c>
    </row>
    <row r="7" spans="1:10" x14ac:dyDescent="0.25">
      <c r="A7" s="7" t="s">
        <v>19</v>
      </c>
      <c r="B7" s="7">
        <v>4</v>
      </c>
      <c r="C7" s="7" t="s">
        <v>174</v>
      </c>
      <c r="D7" s="2" t="s">
        <v>20</v>
      </c>
      <c r="E7" s="2" t="s">
        <v>21</v>
      </c>
      <c r="F7" s="2" t="s">
        <v>22</v>
      </c>
      <c r="G7" s="2" t="s">
        <v>213</v>
      </c>
      <c r="H7" s="2" t="s">
        <v>213</v>
      </c>
      <c r="I7" s="12" t="s">
        <v>283</v>
      </c>
    </row>
    <row r="8" spans="1:10" ht="14.25" customHeight="1" x14ac:dyDescent="0.25">
      <c r="A8" s="2" t="s">
        <v>27</v>
      </c>
      <c r="B8" s="2">
        <v>4</v>
      </c>
      <c r="C8" s="2" t="s">
        <v>175</v>
      </c>
      <c r="D8" s="2" t="s">
        <v>28</v>
      </c>
      <c r="E8" s="2" t="s">
        <v>29</v>
      </c>
      <c r="F8" s="2" t="s">
        <v>30</v>
      </c>
      <c r="G8" s="2" t="s">
        <v>213</v>
      </c>
      <c r="H8" s="2" t="s">
        <v>213</v>
      </c>
      <c r="I8" s="12" t="s">
        <v>283</v>
      </c>
    </row>
    <row r="9" spans="1:10" x14ac:dyDescent="0.25">
      <c r="A9" s="7" t="s">
        <v>115</v>
      </c>
      <c r="B9" s="7">
        <v>4</v>
      </c>
      <c r="C9" s="2" t="s">
        <v>176</v>
      </c>
      <c r="D9" s="7" t="s">
        <v>36</v>
      </c>
      <c r="E9" s="7" t="s">
        <v>37</v>
      </c>
      <c r="F9" s="7" t="s">
        <v>38</v>
      </c>
      <c r="G9" s="2" t="s">
        <v>213</v>
      </c>
      <c r="H9" s="2" t="s">
        <v>213</v>
      </c>
      <c r="I9" s="12" t="s">
        <v>283</v>
      </c>
    </row>
    <row r="10" spans="1:10" x14ac:dyDescent="0.25">
      <c r="A10" s="2" t="s">
        <v>116</v>
      </c>
      <c r="B10" s="2">
        <v>4</v>
      </c>
      <c r="C10" s="2" t="s">
        <v>200</v>
      </c>
      <c r="D10" s="2" t="s">
        <v>117</v>
      </c>
      <c r="E10" s="2" t="s">
        <v>118</v>
      </c>
      <c r="F10" s="2" t="s">
        <v>119</v>
      </c>
      <c r="G10" s="2" t="s">
        <v>213</v>
      </c>
      <c r="H10" s="2" t="s">
        <v>213</v>
      </c>
      <c r="I10" s="15" t="s">
        <v>283</v>
      </c>
    </row>
    <row r="12" spans="1:10" x14ac:dyDescent="0.25">
      <c r="A12" s="16" t="s">
        <v>285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7"/>
  <sheetViews>
    <sheetView workbookViewId="0">
      <selection activeCell="C2" activeCellId="1" sqref="A2:A17 C2:E17"/>
    </sheetView>
  </sheetViews>
  <sheetFormatPr defaultRowHeight="15" x14ac:dyDescent="0.25"/>
  <cols>
    <col min="1" max="1" width="22.28515625" bestFit="1" customWidth="1"/>
    <col min="2" max="2" width="8.140625" customWidth="1"/>
    <col min="3" max="3" width="14" bestFit="1" customWidth="1"/>
    <col min="4" max="4" width="19.140625" bestFit="1" customWidth="1"/>
    <col min="5" max="5" width="18.5703125" bestFit="1" customWidth="1"/>
    <col min="6" max="6" width="20.140625" bestFit="1" customWidth="1"/>
    <col min="7" max="7" width="10.28515625" customWidth="1"/>
    <col min="8" max="8" width="10.42578125" customWidth="1"/>
  </cols>
  <sheetData>
    <row r="1" spans="1:9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</row>
    <row r="2" spans="1:9" x14ac:dyDescent="0.25">
      <c r="A2" s="2" t="s">
        <v>1</v>
      </c>
      <c r="B2" s="2">
        <v>1</v>
      </c>
      <c r="C2" s="2" t="s">
        <v>158</v>
      </c>
      <c r="D2" s="2" t="s">
        <v>2</v>
      </c>
      <c r="E2" s="2" t="s">
        <v>3</v>
      </c>
      <c r="F2" s="2" t="s">
        <v>4</v>
      </c>
      <c r="G2" s="2" t="s">
        <v>213</v>
      </c>
      <c r="H2" s="2" t="s">
        <v>216</v>
      </c>
      <c r="I2" t="str" cm="1">
        <f t="array" ref="I2">_xlfn.TEXTJOIN(", ",TRUE,UPPER(D2:E17))</f>
        <v>AMP_ND10, AMP_NM, PEN_ND10, PEN_NM, AMC_ND20, AMC_NM, SAM_ND10, SAM_NM, TZP_ND100, TZP_NM, CLI_ND2, CLI_NM, ETP_ND10, ETP_NM, IPM_ND10, IPM_NM, MEM_ND10, MEM_NM, MTR_ND, MTR_NM, IMR_ND10, IMR_NM, CTT_ND30, CTT_NM, FOX_ND30, FOX_NM, CRO_ND30, CRO_NM, MFX_ND5, MFX_NM, TCY_ND30, TCY_NM</v>
      </c>
    </row>
    <row r="3" spans="1:9" x14ac:dyDescent="0.25">
      <c r="A3" s="2" t="s">
        <v>124</v>
      </c>
      <c r="B3" s="2">
        <v>1</v>
      </c>
      <c r="C3" s="2" t="s">
        <v>202</v>
      </c>
      <c r="D3" s="8" t="s">
        <v>154</v>
      </c>
      <c r="E3" s="2" t="s">
        <v>125</v>
      </c>
      <c r="F3" s="2" t="s">
        <v>126</v>
      </c>
      <c r="G3" s="2" t="s">
        <v>213</v>
      </c>
      <c r="H3" s="2" t="s">
        <v>213</v>
      </c>
      <c r="I3" t="s">
        <v>378</v>
      </c>
    </row>
    <row r="4" spans="1:9" x14ac:dyDescent="0.25">
      <c r="A4" s="2" t="s">
        <v>217</v>
      </c>
      <c r="B4" s="2">
        <v>1</v>
      </c>
      <c r="C4" s="2" t="s">
        <v>191</v>
      </c>
      <c r="D4" s="2" t="s">
        <v>5</v>
      </c>
      <c r="E4" s="2" t="s">
        <v>6</v>
      </c>
      <c r="F4" s="2" t="s">
        <v>7</v>
      </c>
      <c r="G4" s="2" t="s">
        <v>213</v>
      </c>
      <c r="H4" s="2" t="s">
        <v>216</v>
      </c>
    </row>
    <row r="5" spans="1:9" x14ac:dyDescent="0.25">
      <c r="A5" s="2" t="s">
        <v>109</v>
      </c>
      <c r="B5" s="2">
        <v>1</v>
      </c>
      <c r="C5" s="2" t="s">
        <v>183</v>
      </c>
      <c r="D5" s="2" t="s">
        <v>106</v>
      </c>
      <c r="E5" s="2" t="s">
        <v>107</v>
      </c>
      <c r="F5" s="2" t="s">
        <v>108</v>
      </c>
      <c r="G5" s="2" t="s">
        <v>213</v>
      </c>
      <c r="H5" s="2" t="s">
        <v>216</v>
      </c>
    </row>
    <row r="6" spans="1:9" x14ac:dyDescent="0.25">
      <c r="A6" s="2" t="s">
        <v>34</v>
      </c>
      <c r="B6" s="2">
        <v>1</v>
      </c>
      <c r="C6" s="2" t="s">
        <v>192</v>
      </c>
      <c r="D6" s="2" t="s">
        <v>31</v>
      </c>
      <c r="E6" s="8" t="s">
        <v>32</v>
      </c>
      <c r="F6" s="2" t="s">
        <v>33</v>
      </c>
      <c r="G6" s="2" t="s">
        <v>213</v>
      </c>
      <c r="H6" s="2" t="s">
        <v>216</v>
      </c>
    </row>
    <row r="7" spans="1:9" x14ac:dyDescent="0.25">
      <c r="A7" s="5" t="s">
        <v>151</v>
      </c>
      <c r="B7" s="5">
        <v>1</v>
      </c>
      <c r="C7" s="2" t="s">
        <v>209</v>
      </c>
      <c r="D7" s="2" t="s">
        <v>148</v>
      </c>
      <c r="E7" s="2" t="s">
        <v>149</v>
      </c>
      <c r="F7" s="8" t="s">
        <v>150</v>
      </c>
      <c r="G7" s="2" t="s">
        <v>213</v>
      </c>
      <c r="H7" s="2" t="s">
        <v>216</v>
      </c>
    </row>
    <row r="8" spans="1:9" x14ac:dyDescent="0.25">
      <c r="A8" s="2" t="s">
        <v>52</v>
      </c>
      <c r="B8" s="2">
        <v>1</v>
      </c>
      <c r="C8" s="2" t="s">
        <v>180</v>
      </c>
      <c r="D8" s="2" t="s">
        <v>53</v>
      </c>
      <c r="E8" s="2" t="s">
        <v>54</v>
      </c>
      <c r="F8" s="2" t="s">
        <v>55</v>
      </c>
      <c r="G8" s="2" t="s">
        <v>213</v>
      </c>
      <c r="H8" s="2" t="s">
        <v>216</v>
      </c>
    </row>
    <row r="9" spans="1:9" x14ac:dyDescent="0.25">
      <c r="A9" s="2" t="s">
        <v>56</v>
      </c>
      <c r="B9" s="2">
        <v>1</v>
      </c>
      <c r="C9" s="2" t="s">
        <v>178</v>
      </c>
      <c r="D9" s="9" t="s">
        <v>57</v>
      </c>
      <c r="E9" s="2" t="s">
        <v>58</v>
      </c>
      <c r="F9" s="2" t="s">
        <v>59</v>
      </c>
      <c r="G9" s="2" t="s">
        <v>213</v>
      </c>
      <c r="H9" s="2" t="s">
        <v>216</v>
      </c>
    </row>
    <row r="10" spans="1:9" x14ac:dyDescent="0.25">
      <c r="A10" s="2" t="s">
        <v>60</v>
      </c>
      <c r="B10" s="2">
        <v>1</v>
      </c>
      <c r="C10" s="2" t="s">
        <v>179</v>
      </c>
      <c r="D10" s="2" t="s">
        <v>61</v>
      </c>
      <c r="E10" s="2" t="s">
        <v>62</v>
      </c>
      <c r="F10" s="2" t="s">
        <v>63</v>
      </c>
      <c r="G10" s="2" t="s">
        <v>213</v>
      </c>
      <c r="H10" s="2" t="s">
        <v>216</v>
      </c>
    </row>
    <row r="11" spans="1:9" x14ac:dyDescent="0.25">
      <c r="A11" s="2" t="s">
        <v>254</v>
      </c>
      <c r="B11" s="2">
        <v>1</v>
      </c>
      <c r="C11" s="2" t="s">
        <v>255</v>
      </c>
      <c r="D11" s="2" t="s">
        <v>256</v>
      </c>
      <c r="E11" s="2" t="s">
        <v>257</v>
      </c>
      <c r="F11" s="2" t="s">
        <v>258</v>
      </c>
      <c r="G11" s="2" t="s">
        <v>213</v>
      </c>
      <c r="H11" s="2" t="s">
        <v>216</v>
      </c>
    </row>
    <row r="12" spans="1:9" x14ac:dyDescent="0.25">
      <c r="A12" s="3" t="s">
        <v>80</v>
      </c>
      <c r="B12" s="3">
        <v>4</v>
      </c>
      <c r="C12" s="4" t="s">
        <v>195</v>
      </c>
      <c r="D12" s="6" t="s">
        <v>81</v>
      </c>
      <c r="E12" s="6" t="s">
        <v>82</v>
      </c>
      <c r="F12" s="6" t="s">
        <v>83</v>
      </c>
      <c r="G12" s="2" t="s">
        <v>213</v>
      </c>
      <c r="H12" s="2" t="s">
        <v>216</v>
      </c>
    </row>
    <row r="13" spans="1:9" x14ac:dyDescent="0.25">
      <c r="A13" s="4" t="s">
        <v>227</v>
      </c>
      <c r="B13" s="4">
        <v>4</v>
      </c>
      <c r="C13" s="2" t="s">
        <v>228</v>
      </c>
      <c r="D13" s="6" t="s">
        <v>229</v>
      </c>
      <c r="E13" s="6" t="s">
        <v>230</v>
      </c>
      <c r="F13" s="6" t="s">
        <v>231</v>
      </c>
      <c r="G13" s="2" t="s">
        <v>213</v>
      </c>
      <c r="H13" s="6" t="s">
        <v>216</v>
      </c>
    </row>
    <row r="14" spans="1:9" x14ac:dyDescent="0.25">
      <c r="A14" s="6" t="s">
        <v>47</v>
      </c>
      <c r="B14" s="6">
        <v>4</v>
      </c>
      <c r="C14" s="2" t="s">
        <v>193</v>
      </c>
      <c r="D14" s="3" t="s">
        <v>48</v>
      </c>
      <c r="E14" s="3" t="s">
        <v>49</v>
      </c>
      <c r="F14" s="3" t="s">
        <v>50</v>
      </c>
      <c r="G14" s="2" t="s">
        <v>213</v>
      </c>
      <c r="H14" s="2" t="s">
        <v>216</v>
      </c>
    </row>
    <row r="15" spans="1:9" x14ac:dyDescent="0.25">
      <c r="A15" s="5" t="s">
        <v>16</v>
      </c>
      <c r="B15" s="5">
        <v>4</v>
      </c>
      <c r="C15" s="3" t="s">
        <v>173</v>
      </c>
      <c r="D15" s="2" t="s">
        <v>114</v>
      </c>
      <c r="E15" s="2" t="s">
        <v>17</v>
      </c>
      <c r="F15" s="2" t="s">
        <v>18</v>
      </c>
      <c r="G15" s="2" t="s">
        <v>213</v>
      </c>
      <c r="H15" s="2" t="s">
        <v>213</v>
      </c>
    </row>
    <row r="16" spans="1:9" ht="12.75" customHeight="1" x14ac:dyDescent="0.25">
      <c r="A16" s="12" t="s">
        <v>219</v>
      </c>
      <c r="B16" s="12">
        <v>4</v>
      </c>
      <c r="C16" s="12" t="s">
        <v>218</v>
      </c>
      <c r="D16" s="12" t="s">
        <v>220</v>
      </c>
      <c r="E16" s="12" t="s">
        <v>221</v>
      </c>
      <c r="F16" s="12" t="s">
        <v>222</v>
      </c>
      <c r="G16" s="2" t="s">
        <v>213</v>
      </c>
      <c r="H16" s="2" t="s">
        <v>216</v>
      </c>
    </row>
    <row r="17" spans="1:8" x14ac:dyDescent="0.25">
      <c r="A17" s="3" t="s">
        <v>67</v>
      </c>
      <c r="B17" s="3">
        <v>4</v>
      </c>
      <c r="C17" s="2" t="s">
        <v>181</v>
      </c>
      <c r="D17" s="6" t="s">
        <v>64</v>
      </c>
      <c r="E17" s="6" t="s">
        <v>65</v>
      </c>
      <c r="F17" s="6" t="s">
        <v>66</v>
      </c>
      <c r="G17" s="2" t="s">
        <v>213</v>
      </c>
      <c r="H17" s="2" t="s">
        <v>216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7"/>
  <sheetViews>
    <sheetView workbookViewId="0">
      <selection activeCell="I3" sqref="I3"/>
    </sheetView>
  </sheetViews>
  <sheetFormatPr defaultRowHeight="15" x14ac:dyDescent="0.25"/>
  <cols>
    <col min="1" max="1" width="30.5703125" bestFit="1" customWidth="1"/>
    <col min="2" max="2" width="13.5703125" customWidth="1"/>
    <col min="3" max="3" width="14" bestFit="1" customWidth="1"/>
    <col min="4" max="4" width="19.140625" bestFit="1" customWidth="1"/>
    <col min="5" max="5" width="18.5703125" bestFit="1" customWidth="1"/>
    <col min="6" max="6" width="20.140625" bestFit="1" customWidth="1"/>
    <col min="7" max="7" width="11.42578125" customWidth="1"/>
    <col min="8" max="8" width="10.5703125" customWidth="1"/>
  </cols>
  <sheetData>
    <row r="1" spans="1:9" x14ac:dyDescent="0.25">
      <c r="A1" s="1" t="s">
        <v>214</v>
      </c>
      <c r="B1" s="1" t="s">
        <v>260</v>
      </c>
      <c r="C1" s="1" t="s">
        <v>0</v>
      </c>
      <c r="D1" s="1" t="s">
        <v>163</v>
      </c>
      <c r="E1" s="1" t="s">
        <v>164</v>
      </c>
      <c r="F1" s="1" t="s">
        <v>165</v>
      </c>
      <c r="G1" s="11" t="s">
        <v>245</v>
      </c>
      <c r="H1" s="1" t="s">
        <v>215</v>
      </c>
    </row>
    <row r="2" spans="1:9" x14ac:dyDescent="0.25">
      <c r="A2" s="2" t="s">
        <v>1</v>
      </c>
      <c r="B2" s="2">
        <v>4</v>
      </c>
      <c r="C2" s="2" t="s">
        <v>158</v>
      </c>
      <c r="D2" s="2" t="s">
        <v>2</v>
      </c>
      <c r="E2" s="2" t="s">
        <v>3</v>
      </c>
      <c r="F2" s="2" t="s">
        <v>4</v>
      </c>
      <c r="G2" s="2" t="s">
        <v>213</v>
      </c>
      <c r="H2" s="2" t="s">
        <v>216</v>
      </c>
      <c r="I2" t="str" cm="1">
        <f t="array" ref="I2">_xlfn.TEXTJOIN("|",TRUE,UPPER(C2:C17))</f>
        <v>AMP|PEN|AMC|SAM|TZP|CLI|ETP|IPM|MEM|MTR|IMR|CTT|FOX|CRO|MFX|TCY</v>
      </c>
    </row>
    <row r="3" spans="1:9" x14ac:dyDescent="0.25">
      <c r="A3" s="2" t="s">
        <v>124</v>
      </c>
      <c r="B3" s="2">
        <v>4</v>
      </c>
      <c r="C3" s="2" t="s">
        <v>202</v>
      </c>
      <c r="D3" s="8" t="s">
        <v>154</v>
      </c>
      <c r="E3" s="2" t="s">
        <v>125</v>
      </c>
      <c r="F3" s="2" t="s">
        <v>126</v>
      </c>
      <c r="G3" s="2" t="s">
        <v>213</v>
      </c>
      <c r="H3" s="2" t="s">
        <v>216</v>
      </c>
      <c r="I3" t="s">
        <v>468</v>
      </c>
    </row>
    <row r="4" spans="1:9" x14ac:dyDescent="0.25">
      <c r="A4" s="2" t="s">
        <v>217</v>
      </c>
      <c r="B4" s="2">
        <v>1</v>
      </c>
      <c r="C4" s="2" t="s">
        <v>191</v>
      </c>
      <c r="D4" s="2" t="s">
        <v>5</v>
      </c>
      <c r="E4" s="2" t="s">
        <v>6</v>
      </c>
      <c r="F4" s="2" t="s">
        <v>7</v>
      </c>
      <c r="G4" s="2" t="s">
        <v>213</v>
      </c>
      <c r="H4" s="2" t="s">
        <v>216</v>
      </c>
    </row>
    <row r="5" spans="1:9" x14ac:dyDescent="0.25">
      <c r="A5" s="2" t="s">
        <v>109</v>
      </c>
      <c r="B5" s="2">
        <v>1</v>
      </c>
      <c r="C5" s="2" t="s">
        <v>183</v>
      </c>
      <c r="D5" s="2" t="s">
        <v>106</v>
      </c>
      <c r="E5" s="2" t="s">
        <v>107</v>
      </c>
      <c r="F5" s="2" t="s">
        <v>108</v>
      </c>
      <c r="G5" s="2" t="s">
        <v>213</v>
      </c>
      <c r="H5" s="2" t="s">
        <v>216</v>
      </c>
    </row>
    <row r="6" spans="1:9" x14ac:dyDescent="0.25">
      <c r="A6" s="2" t="s">
        <v>34</v>
      </c>
      <c r="B6" s="2">
        <v>1</v>
      </c>
      <c r="C6" s="2" t="s">
        <v>192</v>
      </c>
      <c r="D6" s="2" t="s">
        <v>31</v>
      </c>
      <c r="E6" s="8" t="s">
        <v>32</v>
      </c>
      <c r="F6" s="2" t="s">
        <v>33</v>
      </c>
      <c r="G6" s="2" t="s">
        <v>213</v>
      </c>
      <c r="H6" s="2" t="s">
        <v>216</v>
      </c>
    </row>
    <row r="7" spans="1:9" x14ac:dyDescent="0.25">
      <c r="A7" s="5" t="s">
        <v>151</v>
      </c>
      <c r="B7" s="5">
        <v>1</v>
      </c>
      <c r="C7" s="2" t="s">
        <v>209</v>
      </c>
      <c r="D7" s="2" t="s">
        <v>148</v>
      </c>
      <c r="E7" s="2" t="s">
        <v>149</v>
      </c>
      <c r="F7" s="8" t="s">
        <v>150</v>
      </c>
      <c r="G7" s="2" t="s">
        <v>213</v>
      </c>
      <c r="H7" s="2" t="s">
        <v>216</v>
      </c>
    </row>
    <row r="8" spans="1:9" x14ac:dyDescent="0.25">
      <c r="A8" s="2" t="s">
        <v>52</v>
      </c>
      <c r="B8" s="2">
        <v>1</v>
      </c>
      <c r="C8" s="2" t="s">
        <v>180</v>
      </c>
      <c r="D8" s="2" t="s">
        <v>53</v>
      </c>
      <c r="E8" s="2" t="s">
        <v>54</v>
      </c>
      <c r="F8" s="2" t="s">
        <v>55</v>
      </c>
      <c r="G8" s="2" t="s">
        <v>213</v>
      </c>
      <c r="H8" s="2" t="s">
        <v>216</v>
      </c>
    </row>
    <row r="9" spans="1:9" x14ac:dyDescent="0.25">
      <c r="A9" s="2" t="s">
        <v>56</v>
      </c>
      <c r="B9" s="2">
        <v>1</v>
      </c>
      <c r="C9" s="2" t="s">
        <v>178</v>
      </c>
      <c r="D9" s="9" t="s">
        <v>57</v>
      </c>
      <c r="E9" s="2" t="s">
        <v>58</v>
      </c>
      <c r="F9" s="2" t="s">
        <v>59</v>
      </c>
      <c r="G9" s="2" t="s">
        <v>213</v>
      </c>
      <c r="H9" s="2" t="s">
        <v>216</v>
      </c>
    </row>
    <row r="10" spans="1:9" x14ac:dyDescent="0.25">
      <c r="A10" s="2" t="s">
        <v>60</v>
      </c>
      <c r="B10" s="2">
        <v>1</v>
      </c>
      <c r="C10" s="2" t="s">
        <v>179</v>
      </c>
      <c r="D10" s="2" t="s">
        <v>61</v>
      </c>
      <c r="E10" s="2" t="s">
        <v>62</v>
      </c>
      <c r="F10" s="2" t="s">
        <v>63</v>
      </c>
      <c r="G10" s="2" t="s">
        <v>213</v>
      </c>
      <c r="H10" s="2" t="s">
        <v>216</v>
      </c>
    </row>
    <row r="11" spans="1:9" x14ac:dyDescent="0.25">
      <c r="A11" s="2" t="s">
        <v>254</v>
      </c>
      <c r="B11" s="2">
        <v>1</v>
      </c>
      <c r="C11" s="2" t="s">
        <v>255</v>
      </c>
      <c r="D11" s="2" t="s">
        <v>256</v>
      </c>
      <c r="E11" s="2" t="s">
        <v>257</v>
      </c>
      <c r="F11" s="2" t="s">
        <v>258</v>
      </c>
      <c r="G11" s="2" t="s">
        <v>213</v>
      </c>
      <c r="H11" s="2" t="s">
        <v>216</v>
      </c>
    </row>
    <row r="12" spans="1:9" x14ac:dyDescent="0.25">
      <c r="A12" s="3" t="s">
        <v>80</v>
      </c>
      <c r="B12" s="3">
        <v>4</v>
      </c>
      <c r="C12" s="4" t="s">
        <v>195</v>
      </c>
      <c r="D12" s="6" t="s">
        <v>81</v>
      </c>
      <c r="E12" s="6" t="s">
        <v>82</v>
      </c>
      <c r="F12" s="6" t="s">
        <v>83</v>
      </c>
      <c r="G12" s="2" t="s">
        <v>213</v>
      </c>
      <c r="H12" s="2" t="s">
        <v>216</v>
      </c>
    </row>
    <row r="13" spans="1:9" x14ac:dyDescent="0.25">
      <c r="A13" s="4" t="s">
        <v>227</v>
      </c>
      <c r="B13" s="4">
        <v>4</v>
      </c>
      <c r="C13" s="2" t="s">
        <v>228</v>
      </c>
      <c r="D13" s="6" t="s">
        <v>229</v>
      </c>
      <c r="E13" s="6" t="s">
        <v>230</v>
      </c>
      <c r="F13" s="6" t="s">
        <v>231</v>
      </c>
      <c r="G13" s="2" t="s">
        <v>213</v>
      </c>
      <c r="H13" s="6" t="s">
        <v>216</v>
      </c>
    </row>
    <row r="14" spans="1:9" x14ac:dyDescent="0.25">
      <c r="A14" s="6" t="s">
        <v>47</v>
      </c>
      <c r="B14" s="6">
        <v>4</v>
      </c>
      <c r="C14" s="2" t="s">
        <v>193</v>
      </c>
      <c r="D14" s="3" t="s">
        <v>48</v>
      </c>
      <c r="E14" s="3" t="s">
        <v>49</v>
      </c>
      <c r="F14" s="3" t="s">
        <v>50</v>
      </c>
      <c r="G14" s="2" t="s">
        <v>213</v>
      </c>
      <c r="H14" s="2" t="s">
        <v>216</v>
      </c>
    </row>
    <row r="15" spans="1:9" x14ac:dyDescent="0.25">
      <c r="A15" s="5" t="s">
        <v>16</v>
      </c>
      <c r="B15" s="5">
        <v>4</v>
      </c>
      <c r="C15" s="3" t="s">
        <v>173</v>
      </c>
      <c r="D15" s="2" t="s">
        <v>114</v>
      </c>
      <c r="E15" s="2" t="s">
        <v>17</v>
      </c>
      <c r="F15" s="2" t="s">
        <v>18</v>
      </c>
      <c r="G15" s="2" t="s">
        <v>213</v>
      </c>
      <c r="H15" s="2" t="s">
        <v>213</v>
      </c>
    </row>
    <row r="16" spans="1:9" x14ac:dyDescent="0.25">
      <c r="A16" s="12" t="s">
        <v>219</v>
      </c>
      <c r="B16" s="12">
        <v>4</v>
      </c>
      <c r="C16" s="12" t="s">
        <v>218</v>
      </c>
      <c r="D16" s="12" t="s">
        <v>220</v>
      </c>
      <c r="E16" s="12" t="s">
        <v>221</v>
      </c>
      <c r="F16" s="12" t="s">
        <v>222</v>
      </c>
      <c r="G16" s="2" t="s">
        <v>213</v>
      </c>
      <c r="H16" s="2" t="s">
        <v>216</v>
      </c>
    </row>
    <row r="17" spans="1:8" x14ac:dyDescent="0.25">
      <c r="A17" s="3" t="s">
        <v>67</v>
      </c>
      <c r="B17" s="3">
        <v>4</v>
      </c>
      <c r="C17" s="2" t="s">
        <v>181</v>
      </c>
      <c r="D17" s="6" t="s">
        <v>64</v>
      </c>
      <c r="E17" s="6" t="s">
        <v>65</v>
      </c>
      <c r="F17" s="6" t="s">
        <v>66</v>
      </c>
      <c r="G17" s="2" t="s">
        <v>213</v>
      </c>
      <c r="H17" s="2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group_all</vt:lpstr>
      <vt:lpstr>groupings</vt:lpstr>
      <vt:lpstr>ebc</vt:lpstr>
      <vt:lpstr>sal_shi</vt:lpstr>
      <vt:lpstr>pae</vt:lpstr>
      <vt:lpstr>ac</vt:lpstr>
      <vt:lpstr>pma</vt:lpstr>
      <vt:lpstr>non_ebc</vt:lpstr>
      <vt:lpstr>sta</vt:lpstr>
      <vt:lpstr>ent</vt:lpstr>
      <vt:lpstr>hpi_hin</vt:lpstr>
      <vt:lpstr>ngo</vt:lpstr>
      <vt:lpstr>spn</vt:lpstr>
      <vt:lpstr>vic</vt:lpstr>
      <vt:lpstr>bs</vt:lpstr>
      <vt:lpstr>svi</vt:lpstr>
      <vt:lpstr>nme</vt:lpstr>
      <vt:lpstr>aec</vt:lpstr>
      <vt:lpstr>aer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Allysa Marie Barnuevo</dc:creator>
  <cp:lastModifiedBy>Maricel Alea</cp:lastModifiedBy>
  <dcterms:created xsi:type="dcterms:W3CDTF">2024-01-17T05:45:08Z</dcterms:created>
  <dcterms:modified xsi:type="dcterms:W3CDTF">2026-05-08T03:37:23Z</dcterms:modified>
</cp:coreProperties>
</file>